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ed Refuel" sheetId="1" r:id="rId5"/>
    <sheet state="visible" name="BotState" sheetId="2" r:id="rId6"/>
    <sheet state="visible" name="Telegram ID" sheetId="3" r:id="rId7"/>
    <sheet state="visible" name="Template" sheetId="4" r:id="rId8"/>
    <sheet state="visible" name="FT follow monitor" sheetId="5" r:id="rId9"/>
    <sheet state="visible" name="Refueled" sheetId="6" r:id="rId10"/>
    <sheet state="visible" name="Lat long" sheetId="7" r:id="rId11"/>
    <sheet state="visible" name="Lettel Progress" sheetId="8" r:id="rId12"/>
    <sheet state="visible" name="Team request" sheetId="9" r:id="rId13"/>
    <sheet state="visible" name="Plan refuel" sheetId="10" r:id="rId14"/>
  </sheets>
  <definedNames/>
  <calcPr/>
</workbook>
</file>

<file path=xl/sharedStrings.xml><?xml version="1.0" encoding="utf-8"?>
<sst xmlns="http://schemas.openxmlformats.org/spreadsheetml/2006/main" count="3188" uniqueCount="340">
  <si>
    <t>Refueled</t>
  </si>
  <si>
    <t>key</t>
  </si>
  <si>
    <t>Plan refuel</t>
  </si>
  <si>
    <t>Team request</t>
  </si>
  <si>
    <t>M&amp;E</t>
  </si>
  <si>
    <t>msg_id</t>
  </si>
  <si>
    <t>FT</t>
  </si>
  <si>
    <t>report1_-5469544739</t>
  </si>
  <si>
    <t>ID telegram Plan</t>
  </si>
  <si>
    <t>report2_-5469544739</t>
  </si>
  <si>
    <t>ID Telegram Submit letter</t>
  </si>
  <si>
    <t>report3_-5469544739</t>
  </si>
  <si>
    <t>refuel_daily_-5469544739</t>
  </si>
  <si>
    <t>1.Date =8/7/2026
2. Mytel DG ID  TNI0004(DG2)
3. DG Type        -YANMAR(30)kva
4. Power  Mode - DG+Battery
5. Goverment Price:
6: Partner price:5500
7: How many percent increase: %
8: Reason price higher than Goverment:Currently Taningharyi township region cannot buy fuel from fuel station and Fuel take from Myeik and transport to TNI0004,on the way have many checking gate and have to paid fee those gate for pass with  fuel and price was higher than station price.
9: Filling fuel: 
DG Running Hour -35817hrs-mins
DG KWH Hours-97527KWH
Actual Filled Qty(L) -843L
1Liter price=5500MMK
Fuel Filling Team03
Following Mr Myeat Ko Ko Aung
Before
Fuel Level %-00
CSU Reading(L) -00
Fuel Liter/cm        -(1)17L
After
Fuel Level %        -00
CSU Reading(L)-00
Fuel Liter/cm        -(49)860L
Emergency Fuel Fill
Mention: CC:Mr @⁨Phonghd⁩ @⁨Anh Phan Minh Loi (Bhone Min Lu)⁩ @⁨Kha yay Phoo (TNI)⁩ @⁨Hein Nanda-M&amp;E-2022⁩ *(Picture need to add the price of fuel station where fuel team buy it)*</t>
  </si>
  <si>
    <t>report4_-5469544739</t>
  </si>
  <si>
    <t>Team 1  Plan refuel 10/07/2026 : TNI0061: 440L + TNI0319 : 440L + TNI0049: 440L</t>
  </si>
  <si>
    <t xml:space="preserve">Team 1 request 10/07/2026: TNI0129"440L + TNI0213 : 440L </t>
  </si>
  <si>
    <t>report5_-5469544739</t>
  </si>
  <si>
    <t>The letter was submitted to the Government for approval on: : 20/06/2026</t>
  </si>
  <si>
    <t>The government approved the oil transport letter on: 28/06/2026</t>
  </si>
  <si>
    <t>The letter was submitted to the Government for approval on: : 20/06/2026        The government approved the oil transport letter on: 28/06/2026</t>
  </si>
  <si>
    <t>Name of FT staff member accompanying to supervise the quality of premium oil and ensure the correct quantity is poured according to the plan: Paung Aung Soe - 19/07/2026 TNI0213 + 660L, TNI0129 + 660L</t>
  </si>
  <si>
    <t>Hein Nanda</t>
  </si>
  <si>
    <t>Ha Duc Phong</t>
  </si>
  <si>
    <t>#00005</t>
  </si>
  <si>
    <t>Phy Ko Ko</t>
  </si>
  <si>
    <t>TNI0051</t>
  </si>
  <si>
    <t>TNI</t>
  </si>
  <si>
    <t>#00004</t>
  </si>
  <si>
    <t>TNI0328</t>
  </si>
  <si>
    <t>#00003</t>
  </si>
  <si>
    <t>#00002</t>
  </si>
  <si>
    <t>Paung Aung Soe - 19/07/2026 TNI0213 + 660L, TNI0129 + 660L</t>
  </si>
  <si>
    <t>TNI0129</t>
  </si>
  <si>
    <t>#00001</t>
  </si>
  <si>
    <t>TNI0213</t>
  </si>
  <si>
    <t>/Note: According to the list of stations and the required number of liters, refuel at the correct station with the correct number of liters. ❓ /No request on group 9 TNI REQUEST REFUEL = ❌ /No refueling allowed.</t>
  </si>
  <si>
    <t>DEF</t>
  </si>
  <si>
    <t>Date</t>
  </si>
  <si>
    <t>DG ID</t>
  </si>
  <si>
    <t>Site ID</t>
  </si>
  <si>
    <t>Team</t>
  </si>
  <si>
    <t>DG Running Hour</t>
  </si>
  <si>
    <t>DG KWH Hour</t>
  </si>
  <si>
    <t>Before Fuel Level %</t>
  </si>
  <si>
    <t>Before CSU Reading(L)</t>
  </si>
  <si>
    <t>Before Fuel Liter/cm</t>
  </si>
  <si>
    <t>After Fuel Level %</t>
  </si>
  <si>
    <t>After CSU Reading(L)</t>
  </si>
  <si>
    <t>After Fuel Liter/cm</t>
  </si>
  <si>
    <t xml:space="preserve">Actual Filled Qty(L) </t>
  </si>
  <si>
    <t>Partner Price per Liter (MMK)</t>
  </si>
  <si>
    <t>Total Amount
(MMK)</t>
  </si>
  <si>
    <t>Têmn</t>
  </si>
  <si>
    <t>ID</t>
  </si>
  <si>
    <t>QI4 Code</t>
  </si>
  <si>
    <t>QI4 Match</t>
  </si>
  <si>
    <t>Lng (Photo)</t>
  </si>
  <si>
    <t>Lat (Photo)</t>
  </si>
  <si>
    <t>Distance (m)</t>
  </si>
  <si>
    <t>Photo Auth</t>
  </si>
  <si>
    <t>#01073</t>
  </si>
  <si>
    <t>TNI0052</t>
  </si>
  <si>
    <t>Team 1</t>
  </si>
  <si>
    <t>Sunil Kumar</t>
  </si>
  <si>
    <t>#01072</t>
  </si>
  <si>
    <t>TNI0116</t>
  </si>
  <si>
    <t>Team 3</t>
  </si>
  <si>
    <t>Shiv Murat</t>
  </si>
  <si>
    <t>#01071</t>
  </si>
  <si>
    <t>TNI0284</t>
  </si>
  <si>
    <t>#01070</t>
  </si>
  <si>
    <t>#01069</t>
  </si>
  <si>
    <t>#01068</t>
  </si>
  <si>
    <t>#01067</t>
  </si>
  <si>
    <t>TNI0309</t>
  </si>
  <si>
    <t>#01066</t>
  </si>
  <si>
    <t>TNI0382</t>
  </si>
  <si>
    <t>Team 2</t>
  </si>
  <si>
    <t>#01065</t>
  </si>
  <si>
    <t>TNI0380</t>
  </si>
  <si>
    <t>#01064</t>
  </si>
  <si>
    <t>TNI0402</t>
  </si>
  <si>
    <t>#01063</t>
  </si>
  <si>
    <t>TNI0386</t>
  </si>
  <si>
    <t>#01062</t>
  </si>
  <si>
    <t>TNI0339</t>
  </si>
  <si>
    <t>#01061</t>
  </si>
  <si>
    <t>#01060</t>
  </si>
  <si>
    <t>TNI0210</t>
  </si>
  <si>
    <t>#01059</t>
  </si>
  <si>
    <t>TNI0008</t>
  </si>
  <si>
    <t>#01058</t>
  </si>
  <si>
    <t>TNI0310</t>
  </si>
  <si>
    <t>#01057</t>
  </si>
  <si>
    <t>TNI0379</t>
  </si>
  <si>
    <t>#01056</t>
  </si>
  <si>
    <t>#01055</t>
  </si>
  <si>
    <t>#01054</t>
  </si>
  <si>
    <t>TNI0345-01</t>
  </si>
  <si>
    <t>TNI0345</t>
  </si>
  <si>
    <t>#01053</t>
  </si>
  <si>
    <t>TNI0319</t>
  </si>
  <si>
    <t>#01052</t>
  </si>
  <si>
    <t>TNI0124</t>
  </si>
  <si>
    <t>#01051</t>
  </si>
  <si>
    <t>TNI0003(New)</t>
  </si>
  <si>
    <t>TNI0003</t>
  </si>
  <si>
    <t>#01050</t>
  </si>
  <si>
    <t>#01049</t>
  </si>
  <si>
    <t>TNI0122</t>
  </si>
  <si>
    <t>#01048</t>
  </si>
  <si>
    <t>TNI0006</t>
  </si>
  <si>
    <t>#01047</t>
  </si>
  <si>
    <t>TNI0009(DG1)</t>
  </si>
  <si>
    <t>TNI0009</t>
  </si>
  <si>
    <t>#01046</t>
  </si>
  <si>
    <t>TNI0009(DG2)</t>
  </si>
  <si>
    <t>#01045</t>
  </si>
  <si>
    <t>TNI0105</t>
  </si>
  <si>
    <t>#01044</t>
  </si>
  <si>
    <t>TNI0381</t>
  </si>
  <si>
    <t>#01043</t>
  </si>
  <si>
    <t>TNI0384</t>
  </si>
  <si>
    <t>#01042</t>
  </si>
  <si>
    <t>#01041</t>
  </si>
  <si>
    <t>#01040</t>
  </si>
  <si>
    <t>#01039</t>
  </si>
  <si>
    <t>#01038</t>
  </si>
  <si>
    <t>TNI0385</t>
  </si>
  <si>
    <t>#01037</t>
  </si>
  <si>
    <t>TNI0383</t>
  </si>
  <si>
    <t>#01036</t>
  </si>
  <si>
    <t>TNI0231</t>
  </si>
  <si>
    <t>#01035</t>
  </si>
  <si>
    <t>#01034</t>
  </si>
  <si>
    <t>TNI0322</t>
  </si>
  <si>
    <t>#01033</t>
  </si>
  <si>
    <t>#01032</t>
  </si>
  <si>
    <t>#01031</t>
  </si>
  <si>
    <t>#01030</t>
  </si>
  <si>
    <t>#01029</t>
  </si>
  <si>
    <t>TNI0312</t>
  </si>
  <si>
    <t>#01028</t>
  </si>
  <si>
    <t>TNI0127</t>
  </si>
  <si>
    <t>#01027</t>
  </si>
  <si>
    <t>TNI0090</t>
  </si>
  <si>
    <t>#01026</t>
  </si>
  <si>
    <t>#01025</t>
  </si>
  <si>
    <t>#01024</t>
  </si>
  <si>
    <t>#01023</t>
  </si>
  <si>
    <t>#01022</t>
  </si>
  <si>
    <t>TNI0519</t>
  </si>
  <si>
    <t>#01021</t>
  </si>
  <si>
    <t>#01020</t>
  </si>
  <si>
    <t>#01019</t>
  </si>
  <si>
    <t>TNI0103</t>
  </si>
  <si>
    <t>#01018</t>
  </si>
  <si>
    <t>TNI0137</t>
  </si>
  <si>
    <t>#01017</t>
  </si>
  <si>
    <t>TNI0351</t>
  </si>
  <si>
    <t>#01016</t>
  </si>
  <si>
    <t>TNI0031</t>
  </si>
  <si>
    <t>#01015</t>
  </si>
  <si>
    <t>TNI0211</t>
  </si>
  <si>
    <t>#01014</t>
  </si>
  <si>
    <t>#01013</t>
  </si>
  <si>
    <t>#01012</t>
  </si>
  <si>
    <t>TNI0049</t>
  </si>
  <si>
    <t>#01011</t>
  </si>
  <si>
    <t>Aung Naing Refuel Team 2</t>
  </si>
  <si>
    <t>#01010</t>
  </si>
  <si>
    <t>TNI0200</t>
  </si>
  <si>
    <t>#01009</t>
  </si>
  <si>
    <t>#01008</t>
  </si>
  <si>
    <t>#01007</t>
  </si>
  <si>
    <t>#01006</t>
  </si>
  <si>
    <t>TNI0289</t>
  </si>
  <si>
    <t>#01005</t>
  </si>
  <si>
    <t>TNI0234</t>
  </si>
  <si>
    <t>#01004</t>
  </si>
  <si>
    <t>TNI0061</t>
  </si>
  <si>
    <t>#01003</t>
  </si>
  <si>
    <t>#01002</t>
  </si>
  <si>
    <t>#01001</t>
  </si>
  <si>
    <t/>
  </si>
  <si>
    <t>Date Letter Submit</t>
  </si>
  <si>
    <t>Date Leter approved</t>
  </si>
  <si>
    <t>Date sent request</t>
  </si>
  <si>
    <t xml:space="preserve">Time </t>
  </si>
  <si>
    <t>Name Team</t>
  </si>
  <si>
    <t>Name Site</t>
  </si>
  <si>
    <t>Order litter</t>
  </si>
  <si>
    <t>#00084</t>
  </si>
  <si>
    <t>Date Plan</t>
  </si>
  <si>
    <t>Name Team Plan</t>
  </si>
  <si>
    <t>Plan will refuel</t>
  </si>
  <si>
    <t>#00103</t>
  </si>
  <si>
    <t>TNI0052_1</t>
  </si>
  <si>
    <t>#00102</t>
  </si>
  <si>
    <t>#00083</t>
  </si>
  <si>
    <t>Team 4</t>
  </si>
  <si>
    <t>TNI0012_2</t>
  </si>
  <si>
    <t>#00101</t>
  </si>
  <si>
    <t>#00082</t>
  </si>
  <si>
    <t>#00100</t>
  </si>
  <si>
    <t>TNI0015_1</t>
  </si>
  <si>
    <t>#00081</t>
  </si>
  <si>
    <t>#00099</t>
  </si>
  <si>
    <t>TNI0004</t>
  </si>
  <si>
    <t>TNI0123_1</t>
  </si>
  <si>
    <t>#00098</t>
  </si>
  <si>
    <t>#00080</t>
  </si>
  <si>
    <t>TNI0392_1</t>
  </si>
  <si>
    <t>#00097</t>
  </si>
  <si>
    <t>#00079</t>
  </si>
  <si>
    <t>#00096</t>
  </si>
  <si>
    <t>TNI0103_1</t>
  </si>
  <si>
    <t>TNI0212</t>
  </si>
  <si>
    <t>#00095</t>
  </si>
  <si>
    <t>#00078</t>
  </si>
  <si>
    <t>TNI0116_1</t>
  </si>
  <si>
    <t>#00094</t>
  </si>
  <si>
    <t>TNI0209</t>
  </si>
  <si>
    <t>#00077</t>
  </si>
  <si>
    <t>#00093</t>
  </si>
  <si>
    <t>TNI0118_1</t>
  </si>
  <si>
    <t>TNI0323</t>
  </si>
  <si>
    <t>#00092</t>
  </si>
  <si>
    <t>#00076</t>
  </si>
  <si>
    <t>TNI0212_1</t>
  </si>
  <si>
    <t>#00091</t>
  </si>
  <si>
    <t>#00075</t>
  </si>
  <si>
    <t>#00090</t>
  </si>
  <si>
    <t>TNI0402_1</t>
  </si>
  <si>
    <t>#00089</t>
  </si>
  <si>
    <t>#00074</t>
  </si>
  <si>
    <t>#00088</t>
  </si>
  <si>
    <t>TNI0001_1</t>
  </si>
  <si>
    <t>#00087</t>
  </si>
  <si>
    <t>#00073</t>
  </si>
  <si>
    <t>TNI0249</t>
  </si>
  <si>
    <t>TNI0003_1</t>
  </si>
  <si>
    <t>#00086</t>
  </si>
  <si>
    <t>#00072</t>
  </si>
  <si>
    <t>#00085</t>
  </si>
  <si>
    <t>TNI0137_1</t>
  </si>
  <si>
    <t>#00071</t>
  </si>
  <si>
    <t>TNI0339_1</t>
  </si>
  <si>
    <t>#00070</t>
  </si>
  <si>
    <t>TNI0413</t>
  </si>
  <si>
    <t>TNI0379_1</t>
  </si>
  <si>
    <t>#00069</t>
  </si>
  <si>
    <t>TNI0380_1</t>
  </si>
  <si>
    <t>TNI0118</t>
  </si>
  <si>
    <t>#00068</t>
  </si>
  <si>
    <t>TNI0385_1</t>
  </si>
  <si>
    <t>#00067</t>
  </si>
  <si>
    <t>TNI0386_1</t>
  </si>
  <si>
    <t>#00066</t>
  </si>
  <si>
    <t>TNI0413_1</t>
  </si>
  <si>
    <t>#00065</t>
  </si>
  <si>
    <t>TNI0006_1</t>
  </si>
  <si>
    <t>#00064</t>
  </si>
  <si>
    <t>TNI0013_1</t>
  </si>
  <si>
    <t>#00063</t>
  </si>
  <si>
    <t>TNI0019_1</t>
  </si>
  <si>
    <t>#00062</t>
  </si>
  <si>
    <t>TNI0031_1</t>
  </si>
  <si>
    <t>#00061</t>
  </si>
  <si>
    <t>TNI0129_1</t>
  </si>
  <si>
    <t>#00060</t>
  </si>
  <si>
    <t>TNI0207_1</t>
  </si>
  <si>
    <t>#00059</t>
  </si>
  <si>
    <t>TNI0213_1</t>
  </si>
  <si>
    <t>#00058</t>
  </si>
  <si>
    <t>TNI0214_1</t>
  </si>
  <si>
    <t>#00057</t>
  </si>
  <si>
    <t>TNI0309_1</t>
  </si>
  <si>
    <t>#00056</t>
  </si>
  <si>
    <t>#00055</t>
  </si>
  <si>
    <t>#00054</t>
  </si>
  <si>
    <t>#00053</t>
  </si>
  <si>
    <t>#00052</t>
  </si>
  <si>
    <t>#00051</t>
  </si>
  <si>
    <t>#00050</t>
  </si>
  <si>
    <t>#00049</t>
  </si>
  <si>
    <t>#00048</t>
  </si>
  <si>
    <t>#00047</t>
  </si>
  <si>
    <t>#00046</t>
  </si>
  <si>
    <t>#00045</t>
  </si>
  <si>
    <t>#00044</t>
  </si>
  <si>
    <t>#00043</t>
  </si>
  <si>
    <t>TNI0306</t>
  </si>
  <si>
    <t>#00042</t>
  </si>
  <si>
    <t>#00041</t>
  </si>
  <si>
    <t>#00040</t>
  </si>
  <si>
    <t>#00039</t>
  </si>
  <si>
    <t>#00038</t>
  </si>
  <si>
    <t>#00037</t>
  </si>
  <si>
    <t>#00036</t>
  </si>
  <si>
    <t>#00035</t>
  </si>
  <si>
    <t>#00034</t>
  </si>
  <si>
    <t>#00033</t>
  </si>
  <si>
    <t>#00032</t>
  </si>
  <si>
    <t>#00031</t>
  </si>
  <si>
    <t>#00030</t>
  </si>
  <si>
    <t>#00029</t>
  </si>
  <si>
    <t>#00028</t>
  </si>
  <si>
    <t>#00027</t>
  </si>
  <si>
    <t>#00026</t>
  </si>
  <si>
    <t>TNI0012</t>
  </si>
  <si>
    <t>Naing Myohtun</t>
  </si>
  <si>
    <t>#00025</t>
  </si>
  <si>
    <t>TNI0355</t>
  </si>
  <si>
    <t>#00024</t>
  </si>
  <si>
    <t>TNI0404</t>
  </si>
  <si>
    <t>#00023</t>
  </si>
  <si>
    <t>#00022</t>
  </si>
  <si>
    <t>#00021</t>
  </si>
  <si>
    <t>#00020</t>
  </si>
  <si>
    <t>#00019</t>
  </si>
  <si>
    <t>#00018</t>
  </si>
  <si>
    <t>#00017</t>
  </si>
  <si>
    <t>#00016</t>
  </si>
  <si>
    <t>TNI0013</t>
  </si>
  <si>
    <t>#00015</t>
  </si>
  <si>
    <t>#00014</t>
  </si>
  <si>
    <t>#00013</t>
  </si>
  <si>
    <t>TNI0314</t>
  </si>
  <si>
    <t>#00012</t>
  </si>
  <si>
    <t>#00011</t>
  </si>
  <si>
    <t>#00010</t>
  </si>
  <si>
    <t>#00009</t>
  </si>
  <si>
    <t>#00008</t>
  </si>
  <si>
    <t>@TNI_FUEL</t>
  </si>
  <si>
    <t>#00007</t>
  </si>
  <si>
    <t>#00006</t>
  </si>
  <si>
    <t>Ye Lwin</t>
  </si>
  <si>
    <t>Test</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</si>
</sst>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MM/yyyy"/>
    <numFmt numFmtId="165" formatCode="0.0"/>
    <numFmt numFmtId="166" formatCode="dd/mm/yyyy"/>
    <numFmt numFmtId="167" formatCode="dd/mm/yy"/>
    <numFmt numFmtId="168" formatCode="dd\-mm\-yyyy"/>
    <numFmt numFmtId="169" formatCode="m/d/yyyy h:mm:ss"/>
    <numFmt numFmtId="170" formatCode="[$-1010000]d/m/yyyy"/>
    <numFmt numFmtId="171" formatCode="_-* #,##0_-;\-* #,##0_-;_-* &quot;-&quot;??_-;_-@"/>
    <numFmt numFmtId="172" formatCode="#,##0.000000"/>
    <numFmt numFmtId="173" formatCode="0.000000"/>
    <numFmt numFmtId="174" formatCode="0.0000_);[Red]\(0.0000\)"/>
    <numFmt numFmtId="175" formatCode="dd/mm/yyyy hh:mm:ss"/>
    <numFmt numFmtId="176" formatCode="0.00000"/>
    <numFmt numFmtId="177" formatCode="d/m/yyyy hh:mm"/>
  </numFmts>
  <fonts count="9">
    <font>
      <sz val="10.0"/>
      <color rgb="FF000000"/>
      <name val="Arial"/>
      <scheme val="minor"/>
    </font>
    <font>
      <color theme="1"/>
      <name val="Arial"/>
      <scheme val="minor"/>
    </font>
    <font>
      <color theme="1"/>
      <name val="Arial"/>
    </font>
    <font>
      <u/>
      <color rgb="FF0000FF"/>
      <name val="Arial"/>
    </font>
    <font>
      <sz val="11.0"/>
      <color rgb="FFCCCCCC"/>
      <name val="Arial"/>
    </font>
    <font>
      <b/>
      <color theme="1"/>
      <name val="Times New Roman"/>
    </font>
    <font>
      <b/>
      <color rgb="FF0000FF"/>
      <name val="Times New Roman"/>
    </font>
    <font>
      <color theme="1"/>
      <name val="Times New Roman"/>
    </font>
    <font>
      <b/>
      <color rgb="FFFFFFFF"/>
      <name val="Arial"/>
      <scheme val="minor"/>
    </font>
  </fonts>
  <fills count="8">
    <fill>
      <patternFill patternType="none"/>
    </fill>
    <fill>
      <patternFill patternType="lightGray"/>
    </fill>
    <fill>
      <patternFill patternType="solid">
        <fgColor rgb="FF00FFFF"/>
        <bgColor rgb="FF00FFFF"/>
      </patternFill>
    </fill>
    <fill>
      <patternFill patternType="solid">
        <fgColor rgb="FFD9EAD3"/>
        <bgColor rgb="FFD9EAD3"/>
      </patternFill>
    </fill>
    <fill>
      <patternFill patternType="solid">
        <fgColor rgb="FFFFFF00"/>
        <bgColor rgb="FFFFFF00"/>
      </patternFill>
    </fill>
    <fill>
      <patternFill patternType="solid">
        <fgColor rgb="FF1A73E8"/>
        <bgColor rgb="FF1A73E8"/>
      </patternFill>
    </fill>
    <fill>
      <patternFill patternType="solid">
        <fgColor rgb="FFFFF9C4"/>
        <bgColor rgb="FFFFF9C4"/>
      </patternFill>
    </fill>
    <fill>
      <patternFill patternType="solid">
        <fgColor rgb="FFE8F5E9"/>
        <bgColor rgb="FFE8F5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1" numFmtId="0" xfId="0" applyFont="1"/>
    <xf borderId="0" fillId="0" fontId="2" numFmtId="0" xfId="0" applyAlignment="1" applyFont="1">
      <alignment vertical="bottom"/>
    </xf>
    <xf borderId="0" fillId="0" fontId="2" numFmtId="164" xfId="0" applyAlignment="1" applyFont="1" applyNumberFormat="1">
      <alignment vertical="bottom"/>
    </xf>
    <xf borderId="0" fillId="0" fontId="1" numFmtId="1" xfId="0" applyFont="1" applyNumberFormat="1"/>
    <xf borderId="0" fillId="0" fontId="1" numFmtId="3" xfId="0" applyFont="1" applyNumberFormat="1"/>
    <xf borderId="0" fillId="0" fontId="1" numFmtId="4" xfId="0" applyFont="1" applyNumberFormat="1"/>
    <xf borderId="0" fillId="0" fontId="1" numFmtId="164" xfId="0" applyFont="1" applyNumberFormat="1"/>
    <xf borderId="0" fillId="0" fontId="1" numFmtId="165" xfId="0" applyFont="1" applyNumberFormat="1"/>
    <xf borderId="0" fillId="0" fontId="1" numFmtId="14" xfId="0" applyFont="1" applyNumberFormat="1"/>
    <xf borderId="0" fillId="0" fontId="3" numFmtId="0" xfId="0" applyAlignment="1" applyFont="1">
      <alignment vertical="bottom"/>
    </xf>
    <xf borderId="0" fillId="0" fontId="1" numFmtId="166" xfId="0" applyAlignment="1" applyFont="1" applyNumberFormat="1">
      <alignment readingOrder="0"/>
    </xf>
    <xf borderId="0" fillId="0" fontId="1" numFmtId="0" xfId="0" applyAlignment="1" applyFont="1">
      <alignment readingOrder="0"/>
    </xf>
    <xf borderId="0" fillId="0" fontId="1" numFmtId="14" xfId="0" applyAlignment="1" applyFont="1" applyNumberFormat="1">
      <alignment readingOrder="0"/>
    </xf>
    <xf borderId="0" fillId="0" fontId="2" numFmtId="0" xfId="0" applyAlignment="1" applyFont="1">
      <alignment horizontal="right" vertical="bottom"/>
    </xf>
    <xf borderId="0" fillId="0" fontId="2" numFmtId="167" xfId="0" applyAlignment="1" applyFont="1" applyNumberFormat="1">
      <alignment vertical="bottom"/>
    </xf>
    <xf borderId="0" fillId="0" fontId="4" numFmtId="0" xfId="0" applyAlignment="1" applyFont="1">
      <alignment readingOrder="0"/>
    </xf>
    <xf borderId="0" fillId="2" fontId="5" numFmtId="0" xfId="0" applyAlignment="1" applyFill="1" applyFont="1">
      <alignment readingOrder="0" shrinkToFit="0" wrapText="1"/>
    </xf>
    <xf borderId="1" fillId="2" fontId="5" numFmtId="164" xfId="0" applyAlignment="1" applyBorder="1" applyFont="1" applyNumberFormat="1">
      <alignment shrinkToFit="0" wrapText="1"/>
    </xf>
    <xf borderId="1" fillId="2" fontId="5" numFmtId="0" xfId="0" applyAlignment="1" applyBorder="1" applyFont="1">
      <alignment shrinkToFit="0" wrapText="1"/>
    </xf>
    <xf borderId="1" fillId="3" fontId="6" numFmtId="0" xfId="0" applyAlignment="1" applyBorder="1" applyFill="1" applyFont="1">
      <alignment shrinkToFit="0" wrapText="1"/>
    </xf>
    <xf borderId="0" fillId="0" fontId="2" numFmtId="168" xfId="0" applyAlignment="1" applyFont="1" applyNumberFormat="1">
      <alignment vertical="bottom"/>
    </xf>
    <xf borderId="1" fillId="4" fontId="7" numFmtId="0" xfId="0" applyAlignment="1" applyBorder="1" applyFill="1" applyFont="1">
      <alignment readingOrder="0" shrinkToFit="0" wrapText="1"/>
    </xf>
    <xf borderId="1" fillId="4" fontId="6" numFmtId="0" xfId="0" applyAlignment="1" applyBorder="1" applyFont="1">
      <alignment readingOrder="0" shrinkToFit="0" wrapText="1"/>
    </xf>
    <xf borderId="1" fillId="4" fontId="5" numFmtId="0" xfId="0" applyAlignment="1" applyBorder="1" applyFont="1">
      <alignment shrinkToFit="0" wrapText="1"/>
    </xf>
    <xf borderId="1" fillId="4" fontId="6" numFmtId="0" xfId="0" applyAlignment="1" applyBorder="1" applyFont="1">
      <alignment shrinkToFit="0" wrapText="1"/>
    </xf>
    <xf borderId="0" fillId="5" fontId="8" numFmtId="0" xfId="0" applyAlignment="1" applyFill="1" applyFont="1">
      <alignment readingOrder="0"/>
    </xf>
    <xf borderId="0" fillId="6" fontId="1" numFmtId="0" xfId="0" applyFill="1" applyFont="1"/>
    <xf borderId="0" fillId="0" fontId="1" numFmtId="164" xfId="0" applyAlignment="1" applyFont="1" applyNumberFormat="1">
      <alignment readingOrder="0"/>
    </xf>
    <xf borderId="0" fillId="0" fontId="1" numFmtId="169" xfId="0" applyAlignment="1" applyFont="1" applyNumberFormat="1">
      <alignment readingOrder="0"/>
    </xf>
    <xf borderId="0" fillId="7" fontId="1" numFmtId="0" xfId="0" applyFill="1" applyFont="1"/>
    <xf borderId="0" fillId="0" fontId="1" numFmtId="170" xfId="0" applyFont="1" applyNumberFormat="1"/>
    <xf borderId="0" fillId="0" fontId="2" numFmtId="171" xfId="0" applyAlignment="1" applyFont="1" applyNumberFormat="1">
      <alignment vertical="bottom"/>
    </xf>
    <xf borderId="0" fillId="0" fontId="2" numFmtId="3" xfId="0" applyAlignment="1" applyFont="1" applyNumberFormat="1">
      <alignment vertical="bottom"/>
    </xf>
    <xf borderId="1" fillId="3" fontId="1" numFmtId="0" xfId="0" applyAlignment="1" applyBorder="1" applyFont="1">
      <alignment shrinkToFit="0" vertical="center" wrapText="1"/>
    </xf>
    <xf borderId="0" fillId="0" fontId="1" numFmtId="172" xfId="0" applyFont="1" applyNumberFormat="1"/>
    <xf borderId="0" fillId="0" fontId="1" numFmtId="173" xfId="0" applyFont="1" applyNumberFormat="1"/>
    <xf borderId="0" fillId="0" fontId="1" numFmtId="174" xfId="0" applyFont="1" applyNumberFormat="1"/>
    <xf borderId="0" fillId="0" fontId="1" numFmtId="175" xfId="0" applyFont="1" applyNumberFormat="1"/>
    <xf borderId="0" fillId="0" fontId="1" numFmtId="176" xfId="0" applyFont="1" applyNumberFormat="1"/>
    <xf borderId="0" fillId="0" fontId="1" numFmtId="0" xfId="0" applyAlignment="1" applyFont="1">
      <alignment horizontal="center" readingOrder="0"/>
    </xf>
    <xf borderId="0" fillId="0" fontId="1" numFmtId="166" xfId="0" applyAlignment="1" applyFont="1" applyNumberFormat="1">
      <alignment horizontal="center" readingOrder="0"/>
    </xf>
    <xf borderId="0" fillId="0" fontId="1" numFmtId="0" xfId="0" applyAlignment="1" applyFont="1">
      <alignment horizontal="center"/>
    </xf>
    <xf borderId="0" fillId="0" fontId="1" numFmtId="177" xfId="0" applyFont="1" applyNumberFormat="1"/>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RW2F2UcIhnNLssgKdtZhrmjwcn2W_7zW/view?usp=drive_link" TargetMode="External"/><Relationship Id="rId22" Type="http://schemas.openxmlformats.org/officeDocument/2006/relationships/hyperlink" Target="https://drive.google.com/file/d/1pkEXUrMZPp46ezOz0QDkzC1qHiy7PPpK/view?usp=sharing" TargetMode="External"/><Relationship Id="rId21" Type="http://schemas.openxmlformats.org/officeDocument/2006/relationships/hyperlink" Target="https://drive.google.com/file/d/1W2YYakS2oStYMntIshqZNxHF5lgsbbNR/view?usp=drive_link" TargetMode="External"/><Relationship Id="rId24" Type="http://schemas.openxmlformats.org/officeDocument/2006/relationships/hyperlink" Target="https://drive.google.com/file/d/12Vqv-WS-36N32kQnp0UVGBokwrv3LIyE/view?usp=drive_link" TargetMode="External"/><Relationship Id="rId23" Type="http://schemas.openxmlformats.org/officeDocument/2006/relationships/hyperlink" Target="https://drive.google.com/file/d/1VESFp2UaAHZzs_pBO29i629dU0sGMNJQ/view?usp=sharing" TargetMode="External"/><Relationship Id="rId1" Type="http://schemas.openxmlformats.org/officeDocument/2006/relationships/hyperlink" Target="https://drive.google.com/file/d/1R5z1Dqcf06DUUqqMxQzd7tOopbY27ZU0/view?usp=drive_link" TargetMode="External"/><Relationship Id="rId2" Type="http://schemas.openxmlformats.org/officeDocument/2006/relationships/hyperlink" Target="https://drive.google.com/file/d/1CYrxkes2YQvliNluqJ-osEHv-d38NXf1/view?usp=drive_link" TargetMode="External"/><Relationship Id="rId3" Type="http://schemas.openxmlformats.org/officeDocument/2006/relationships/hyperlink" Target="https://drive.google.com/file/d/19FYnHYYcX4OHZfEzTKaE23V7G16eQbu3/view?usp=drive_link" TargetMode="External"/><Relationship Id="rId4" Type="http://schemas.openxmlformats.org/officeDocument/2006/relationships/hyperlink" Target="https://drive.google.com/file/d/1jPxpc1Q4HsrIw0gH0p60VUIxDjmgsTgW/view?usp=sharing" TargetMode="External"/><Relationship Id="rId9" Type="http://schemas.openxmlformats.org/officeDocument/2006/relationships/hyperlink" Target="https://drive.google.com/file/d/1OiS0FIcd7GkjGbbiRkUYJl58ljHrFBQC/view?usp=drive_link" TargetMode="External"/><Relationship Id="rId26" Type="http://schemas.openxmlformats.org/officeDocument/2006/relationships/hyperlink" Target="https://drive.google.com/file/d/1Cd9U56BR6g5rxAp8DefAfeet5QF32bVi/view?usp=sharing" TargetMode="External"/><Relationship Id="rId25" Type="http://schemas.openxmlformats.org/officeDocument/2006/relationships/hyperlink" Target="https://drive.google.com/file/d/1FoSxz0rU-mlniMDt_i430jiQD8kQOw5H/view?usp=drive_link" TargetMode="External"/><Relationship Id="rId28" Type="http://schemas.openxmlformats.org/officeDocument/2006/relationships/hyperlink" Target="https://drive.google.com/file/d/1p3Nu-K_478-R2fLdhGqjfwi47d88aXpI/view?usp=drive_link" TargetMode="External"/><Relationship Id="rId27" Type="http://schemas.openxmlformats.org/officeDocument/2006/relationships/hyperlink" Target="https://drive.google.com/file/d/15NzWeJRkHZhATPI9AEDnEZomv2ZCONXx/view?usp=sharing" TargetMode="External"/><Relationship Id="rId5" Type="http://schemas.openxmlformats.org/officeDocument/2006/relationships/hyperlink" Target="https://drive.google.com/file/d/1Twx6iEeGXbAGSFEyBtTkchawG7BUwi4g/view?usp=drive_link" TargetMode="External"/><Relationship Id="rId6" Type="http://schemas.openxmlformats.org/officeDocument/2006/relationships/hyperlink" Target="https://drive.google.com/file/d/10UiQSwihtmpBHyY8kTfxTe-6oYTwuN0Z/view?usp=sharing" TargetMode="External"/><Relationship Id="rId29" Type="http://schemas.openxmlformats.org/officeDocument/2006/relationships/hyperlink" Target="https://drive.google.com/file/d/1cTTOZFZDxAOS0YiWTVUC8qpIVeV7MOnt/view?usp=drive_link" TargetMode="External"/><Relationship Id="rId7" Type="http://schemas.openxmlformats.org/officeDocument/2006/relationships/hyperlink" Target="https://drive.google.com/file/d/1Qe69vGDkw2u_NZ-2j1heyyQMPnX10Hux/view?usp=drive_link" TargetMode="External"/><Relationship Id="rId8" Type="http://schemas.openxmlformats.org/officeDocument/2006/relationships/hyperlink" Target="https://drive.google.com/file/d/1Qe69vGDkw2u_NZ-2j1heyyQMPnX10Hux/view?usp=drive_link" TargetMode="External"/><Relationship Id="rId30" Type="http://schemas.openxmlformats.org/officeDocument/2006/relationships/drawing" Target="../drawings/drawing3.xml"/><Relationship Id="rId11" Type="http://schemas.openxmlformats.org/officeDocument/2006/relationships/hyperlink" Target="https://drive.google.com/file/d/1l4UWMc68Z7TTYbEj4IXFbHIXYVXt9fb-/view?usp=drive_link" TargetMode="External"/><Relationship Id="rId10" Type="http://schemas.openxmlformats.org/officeDocument/2006/relationships/hyperlink" Target="https://drive.google.com/file/d/1denPeXiXWpybA09-ZDPe0jwfiDtbUVyq/view?usp=drive_link" TargetMode="External"/><Relationship Id="rId13" Type="http://schemas.openxmlformats.org/officeDocument/2006/relationships/hyperlink" Target="https://drive.google.com/file/d/1uhdRUF3hpLu1nU1uuVk7SyFVytq-3Wp0/view?usp=drive_link" TargetMode="External"/><Relationship Id="rId12" Type="http://schemas.openxmlformats.org/officeDocument/2006/relationships/hyperlink" Target="https://drive.google.com/file/d/1_e7g0XS_ntYbwWzh8ug01yKMsOIt2_2J/view?usp=drive_link" TargetMode="External"/><Relationship Id="rId15" Type="http://schemas.openxmlformats.org/officeDocument/2006/relationships/hyperlink" Target="https://drive.google.com/file/d/1reRJPlW2lzIv0KUuxdH33buz-yZp32Wy/view?usp=drive_link" TargetMode="External"/><Relationship Id="rId14" Type="http://schemas.openxmlformats.org/officeDocument/2006/relationships/hyperlink" Target="https://drive.google.com/file/d/1qwKfrCKwrOg9Pw8hgYXuvyQ2WRgIxdi2/view?usp=drive_link" TargetMode="External"/><Relationship Id="rId17" Type="http://schemas.openxmlformats.org/officeDocument/2006/relationships/hyperlink" Target="https://drive.google.com/file/d/1zSDvDpgWX_HSoENjb0zYTax1ozfPtObx/view?usp=sharing" TargetMode="External"/><Relationship Id="rId16" Type="http://schemas.openxmlformats.org/officeDocument/2006/relationships/hyperlink" Target="https://drive.google.com/file/d/1A2XubJEB9qDyUQT6lF1bn2E8HnEyU1Is/view?usp=drive_link" TargetMode="External"/><Relationship Id="rId19" Type="http://schemas.openxmlformats.org/officeDocument/2006/relationships/hyperlink" Target="https://drive.google.com/file/d/11iBWZ8mvHzG3jTBsXdjkR215ZLL365v5/view?usp=drive_link" TargetMode="External"/><Relationship Id="rId18" Type="http://schemas.openxmlformats.org/officeDocument/2006/relationships/hyperlink" Target="https://drive.google.com/file/d/1yuELjU51dNPvygitNdmzxCmhy70mSLh7/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25"/>
    <col customWidth="1" min="3" max="3" width="9.13"/>
    <col customWidth="1" min="4" max="4" width="16.25"/>
    <col customWidth="1" min="5" max="5" width="17.38"/>
    <col customWidth="1" min="6" max="6" width="9.5"/>
    <col customWidth="1" min="7" max="7" width="5.38"/>
    <col customWidth="1" min="8" max="8" width="8.38"/>
    <col customWidth="1" min="18" max="18" width="90.0"/>
    <col customWidth="1" min="25" max="25" width="82.38"/>
    <col customWidth="1" min="26" max="28" width="32.5"/>
  </cols>
  <sheetData>
    <row r="1">
      <c r="A1" s="4" t="str">
        <f>IFERROR(__xludf.DUMMYFUNCTION("IMPORTRANGE(""https://docs.google.com/spreadsheets/d/1cou7KUPGNNndUbSmscbd1eSlcrD6i8rl8oKvuIVYUC8/edit?gid=532821066#gid=532821066"",""Export!A:R"")"),"")</f>
        <v/>
      </c>
      <c r="B1" s="4" t="str">
        <f>IFERROR(__xludf.DUMMYFUNCTION("""COMPUTED_VALUE"""),"List site need refuel now")</f>
        <v>List site need refuel now</v>
      </c>
      <c r="C1" s="4"/>
      <c r="D1" s="4"/>
      <c r="E1" s="4"/>
      <c r="F1" s="4"/>
      <c r="G1" s="4"/>
      <c r="H1" s="4"/>
      <c r="I1" s="4"/>
      <c r="J1" s="4"/>
      <c r="K1" s="4"/>
      <c r="L1" s="4"/>
      <c r="M1" s="4"/>
      <c r="N1" s="4"/>
      <c r="O1" s="4"/>
      <c r="P1" s="4"/>
      <c r="Q1" s="4"/>
      <c r="R1" s="4"/>
      <c r="Y1" s="3"/>
      <c r="Z1" s="3"/>
      <c r="AA1" s="3"/>
      <c r="AB1" s="3"/>
    </row>
    <row r="2">
      <c r="A2" s="4"/>
      <c r="B2" s="4"/>
      <c r="C2" s="4"/>
      <c r="D2" s="4"/>
      <c r="E2" s="4"/>
      <c r="F2" s="4"/>
      <c r="G2" s="4"/>
      <c r="H2" s="4"/>
      <c r="I2" s="4"/>
      <c r="J2" s="4"/>
      <c r="K2" s="4" t="str">
        <f>IFERROR(__xludf.DUMMYFUNCTION("""COMPUTED_VALUE"""),"Date")</f>
        <v>Date</v>
      </c>
      <c r="L2" s="7" t="str">
        <f>IFERROR(__xludf.DUMMYFUNCTION("""COMPUTED_VALUE"""),"Remain all affter refuel")</f>
        <v>Remain all affter refuel</v>
      </c>
      <c r="M2" s="7" t="str">
        <f>IFERROR(__xludf.DUMMYFUNCTION("""COMPUTED_VALUE"""),"Follow refuel End  liter/day")</f>
        <v>Follow refuel End  liter/day</v>
      </c>
      <c r="N2" s="7" t="str">
        <f>IFERROR(__xludf.DUMMYFUNCTION("""COMPUTED_VALUE"""),"NMS")</f>
        <v>NMS</v>
      </c>
      <c r="O2" s="7" t="str">
        <f>IFERROR(__xludf.DUMMYFUNCTION("""COMPUTED_VALUE"""),"Fuel Remain ")</f>
        <v>Fuel Remain </v>
      </c>
      <c r="P2" s="7" t="str">
        <f>IFERROR(__xludf.DUMMYFUNCTION("""COMPUTED_VALUE"""),"Littel need refuel")</f>
        <v>Littel need refuel</v>
      </c>
      <c r="Q2" s="7" t="str">
        <f>IFERROR(__xludf.DUMMYFUNCTION("""COMPUTED_VALUE"""),"Lock way")</f>
        <v>Lock way</v>
      </c>
      <c r="R2" s="4" t="str">
        <f>IFERROR(__xludf.DUMMYFUNCTION("""COMPUTED_VALUE"""),"Report need refuel: 02/08/2026 06:20")</f>
        <v>Report need refuel: 02/08/2026 06:20</v>
      </c>
      <c r="Y2" s="3" t="str">
        <f>IFERROR(__xludf.DUMMYFUNCTION("TRANSPOSE(IMPORTRANGE(""https://docs.google.com/spreadsheets/d/1u9qDzNE0i0m3JaJdFHKElq7cnaJI2uX-b_2dL20bbQI/edit?gid=1359629036#gid=1359629036"",""Request partner refuel!AG2:AJ2""))"),"🔴Team 1 request 31/07/2026: /TNI0006_1: 660
01/08/2026: /TNI0031_1: 440  /TNI0214_1: 440  /TNI0309_1: 220  /TNI0019_1: 220
02/08/2026: /TNI0213_1: 440
03/08/2026: /TNI0013_1: 220  /TNI0207_1: 440
04/08/2026: /TNI0322_1: 440")</f>
        <v>🔴Team 1 request 31/07/2026: /TNI0006_1: 660
01/08/2026: /TNI0031_1: 440  /TNI0214_1: 440  /TNI0309_1: 220  /TNI0019_1: 220
02/08/2026: /TNI0213_1: 440
03/08/2026: /TNI0013_1: 220  /TNI0207_1: 440
04/08/2026: /TNI0322_1: 440</v>
      </c>
      <c r="Z2" s="3"/>
      <c r="AA2" s="3"/>
      <c r="AB2" s="3"/>
    </row>
    <row r="3">
      <c r="A3" s="4">
        <f>IFERROR(__xludf.DUMMYFUNCTION("""COMPUTED_VALUE"""),4.0)</f>
        <v>4</v>
      </c>
      <c r="B3" s="4" t="str">
        <f>IFERROR(__xludf.DUMMYFUNCTION("""COMPUTED_VALUE"""),"TNI0073_1")</f>
        <v>TNI0073_1</v>
      </c>
      <c r="C3" s="4" t="str">
        <f>IFERROR(__xludf.DUMMYFUNCTION("""COMPUTED_VALUE"""),"TNI0073")</f>
        <v>TNI0073</v>
      </c>
      <c r="D3" s="8" t="str">
        <f>IFERROR(__xludf.DUMMYFUNCTION("""COMPUTED_VALUE"""),"MYT_TNI_TEAM01")</f>
        <v>MYT_TNI_TEAM01</v>
      </c>
      <c r="E3" s="4" t="str">
        <f>IFERROR(__xludf.DUMMYFUNCTION("""COMPUTED_VALUE"""),"Grid+DG+BB")</f>
        <v>Grid+DG+BB</v>
      </c>
      <c r="F3" s="4" t="str">
        <f>IFERROR(__xludf.DUMMYFUNCTION("""COMPUTED_VALUE"""),"Dawei")</f>
        <v>Dawei</v>
      </c>
      <c r="G3" s="4">
        <f>IFERROR(__xludf.DUMMYFUNCTION("""COMPUTED_VALUE"""),8.0)</f>
        <v>8</v>
      </c>
      <c r="H3" s="9">
        <f>IFERROR(__xludf.DUMMYFUNCTION("""COMPUTED_VALUE"""),8.43)</f>
        <v>8.43</v>
      </c>
      <c r="I3" s="4" t="str">
        <f>IFERROR(__xludf.DUMMYFUNCTION("""COMPUTED_VALUE"""),"Phyo Htet Aung")</f>
        <v>Phyo Htet Aung</v>
      </c>
      <c r="J3" s="4" t="str">
        <f>IFERROR(__xludf.DUMMYFUNCTION("""COMPUTED_VALUE"""),"Mytel")</f>
        <v>Mytel</v>
      </c>
      <c r="K3" s="10">
        <f>IFERROR(__xludf.DUMMYFUNCTION("""COMPUTED_VALUE"""),46100.0)</f>
        <v>46100</v>
      </c>
      <c r="L3" s="7">
        <f>IFERROR(__xludf.DUMMYFUNCTION("""COMPUTED_VALUE"""),253.0)</f>
        <v>253</v>
      </c>
      <c r="M3" s="7">
        <f>IFERROR(__xludf.DUMMYFUNCTION("""COMPUTED_VALUE"""),0.0)</f>
        <v>0</v>
      </c>
      <c r="N3" s="7">
        <f>IFERROR(__xludf.DUMMYFUNCTION("""COMPUTED_VALUE"""),231.0)</f>
        <v>231</v>
      </c>
      <c r="O3" s="7">
        <f>IFERROR(__xludf.DUMMYFUNCTION("""COMPUTED_VALUE"""),0.0)</f>
        <v>0</v>
      </c>
      <c r="P3" s="11">
        <f>IFERROR(__xludf.DUMMYFUNCTION("""COMPUTED_VALUE"""),440.0)</f>
        <v>440</v>
      </c>
      <c r="Q3" s="4" t="str">
        <f>IFERROR(__xludf.DUMMYFUNCTION("""COMPUTED_VALUE"""),"-")</f>
        <v>-</v>
      </c>
      <c r="R3" s="4" t="str">
        <f>IFERROR(__xludf.DUMMYFUNCTION("""COMPUTED_VALUE"""),"1.  /TNI0073_1 - /T1 Dawei Phyo Htet Aung: Last R: /19/03/26 : /253L  Remain: /0 L = Need: /440L =&gt; 02/08/26 :KeyPhoto: /TNI0073_1RP1")</f>
        <v>1.  /TNI0073_1 - /T1 Dawei Phyo Htet Aung: Last R: /19/03/26 : /253L  Remain: /0 L = Need: /440L =&gt; 02/08/26 :KeyPhoto: /TNI0073_1RP1</v>
      </c>
      <c r="Y3" s="3" t="str">
        <f>IFERROR(__xludf.DUMMYFUNCTION("""COMPUTED_VALUE"""),"🔵Team 2 request 01/08/2026: /TNI0379_1: 440  /TNI0380_1: 440  /TNI0241_1: 440  /TNI0088_1: 660
02/08/2026: /TNI0384_1: 440  /TNI0137_1: 660
03/08/2026: /TNI0385_1: 440  /TNI0200_1: 440
04/08/2026: /TNI0367_1: 440  /TNI0003_1: 440")</f>
        <v>🔵Team 2 request 01/08/2026: /TNI0379_1: 440  /TNI0380_1: 440  /TNI0241_1: 440  /TNI0088_1: 660
02/08/2026: /TNI0384_1: 440  /TNI0137_1: 660
03/08/2026: /TNI0385_1: 440  /TNI0200_1: 440
04/08/2026: /TNI0367_1: 440  /TNI0003_1: 440</v>
      </c>
      <c r="Z3" s="3"/>
      <c r="AA3" s="3"/>
      <c r="AB3" s="3"/>
    </row>
    <row r="4">
      <c r="A4" s="4">
        <f>IFERROR(__xludf.DUMMYFUNCTION("""COMPUTED_VALUE"""),7.0)</f>
        <v>7</v>
      </c>
      <c r="B4" s="4" t="str">
        <f>IFERROR(__xludf.DUMMYFUNCTION("""COMPUTED_VALUE"""),"TNI0245_1")</f>
        <v>TNI0245_1</v>
      </c>
      <c r="C4" s="4" t="str">
        <f>IFERROR(__xludf.DUMMYFUNCTION("""COMPUTED_VALUE"""),"TNI0245")</f>
        <v>TNI0245</v>
      </c>
      <c r="D4" s="8" t="str">
        <f>IFERROR(__xludf.DUMMYFUNCTION("""COMPUTED_VALUE"""),"MYT_TNI_TEAM01")</f>
        <v>MYT_TNI_TEAM01</v>
      </c>
      <c r="E4" s="4" t="str">
        <f>IFERROR(__xludf.DUMMYFUNCTION("""COMPUTED_VALUE"""),"Grid+DG+BB")</f>
        <v>Grid+DG+BB</v>
      </c>
      <c r="F4" s="4" t="str">
        <f>IFERROR(__xludf.DUMMYFUNCTION("""COMPUTED_VALUE"""),"Dawei")</f>
        <v>Dawei</v>
      </c>
      <c r="G4" s="4">
        <f>IFERROR(__xludf.DUMMYFUNCTION("""COMPUTED_VALUE"""),8.0)</f>
        <v>8</v>
      </c>
      <c r="H4" s="9">
        <f>IFERROR(__xludf.DUMMYFUNCTION("""COMPUTED_VALUE"""),8.43)</f>
        <v>8.43</v>
      </c>
      <c r="I4" s="4" t="str">
        <f>IFERROR(__xludf.DUMMYFUNCTION("""COMPUTED_VALUE"""),"Bhone Htet Aung")</f>
        <v>Bhone Htet Aung</v>
      </c>
      <c r="J4" s="12" t="str">
        <f>IFERROR(__xludf.DUMMYFUNCTION("""COMPUTED_VALUE"""),"MEC")</f>
        <v>MEC</v>
      </c>
      <c r="K4" s="10">
        <f>IFERROR(__xludf.DUMMYFUNCTION("""COMPUTED_VALUE"""),46012.0)</f>
        <v>46012</v>
      </c>
      <c r="L4" s="7">
        <f>IFERROR(__xludf.DUMMYFUNCTION("""COMPUTED_VALUE"""),289.34)</f>
        <v>289.34</v>
      </c>
      <c r="M4" s="7">
        <f>IFERROR(__xludf.DUMMYFUNCTION("""COMPUTED_VALUE"""),289.34)</f>
        <v>289.34</v>
      </c>
      <c r="N4" s="7">
        <f>IFERROR(__xludf.DUMMYFUNCTION("""COMPUTED_VALUE"""),103.0)</f>
        <v>103</v>
      </c>
      <c r="O4" s="7">
        <f>IFERROR(__xludf.DUMMYFUNCTION("""COMPUTED_VALUE"""),103.0)</f>
        <v>103</v>
      </c>
      <c r="P4" s="11">
        <f>IFERROR(__xludf.DUMMYFUNCTION("""COMPUTED_VALUE"""),440.0)</f>
        <v>440</v>
      </c>
      <c r="Q4" s="4" t="str">
        <f>IFERROR(__xludf.DUMMYFUNCTION("""COMPUTED_VALUE"""),"-")</f>
        <v>-</v>
      </c>
      <c r="R4" s="4" t="str">
        <f>IFERROR(__xludf.DUMMYFUNCTION("""COMPUTED_VALUE"""),"2.  /TNI0245_1 - /T1 Dawei Bhone Htet Aung: Last R: /21/12/25 : /289.34L  Remain: /103 L = Need: /440L =&gt; 02/08/26 :KeyPhoto: /TNI0245_1RP1")</f>
        <v>2.  /TNI0245_1 - /T1 Dawei Bhone Htet Aung: Last R: /21/12/25 : /289.34L  Remain: /103 L = Need: /440L =&gt; 02/08/26 :KeyPhoto: /TNI0245_1RP1</v>
      </c>
      <c r="Y4" s="3" t="str">
        <f>IFERROR(__xludf.DUMMYFUNCTION("""COMPUTED_VALUE"""),"🟢Team 3 request 01/08/2026: /TNI0345_01_1: 440  /TNI0196_1: 660
05/08/2026: /TNI0124_1: 440
06/08/2026: /TNI0116_1: 220  /TNI0212_1: 220")</f>
        <v>🟢Team 3 request 01/08/2026: /TNI0345_01_1: 440  /TNI0196_1: 660
05/08/2026: /TNI0124_1: 440
06/08/2026: /TNI0116_1: 220  /TNI0212_1: 220</v>
      </c>
      <c r="Z4" s="3"/>
      <c r="AA4" s="3"/>
      <c r="AB4" s="3"/>
    </row>
    <row r="5">
      <c r="A5" s="4">
        <f>IFERROR(__xludf.DUMMYFUNCTION("""COMPUTED_VALUE"""),15.0)</f>
        <v>15</v>
      </c>
      <c r="B5" s="4" t="str">
        <f>IFERROR(__xludf.DUMMYFUNCTION("""COMPUTED_VALUE"""),"TNI0013_1")</f>
        <v>TNI0013_1</v>
      </c>
      <c r="C5" s="4" t="str">
        <f>IFERROR(__xludf.DUMMYFUNCTION("""COMPUTED_VALUE"""),"TNI0013")</f>
        <v>TNI0013</v>
      </c>
      <c r="D5" s="8" t="str">
        <f>IFERROR(__xludf.DUMMYFUNCTION("""COMPUTED_VALUE"""),"MYT_TNI_TEAM01")</f>
        <v>MYT_TNI_TEAM01</v>
      </c>
      <c r="E5" s="4" t="str">
        <f>IFERROR(__xludf.DUMMYFUNCTION("""COMPUTED_VALUE"""),"Solar+Grid+DG+BB")</f>
        <v>Solar+Grid+DG+BB</v>
      </c>
      <c r="F5" s="4" t="str">
        <f>IFERROR(__xludf.DUMMYFUNCTION("""COMPUTED_VALUE"""),"Dawei")</f>
        <v>Dawei</v>
      </c>
      <c r="G5" s="4">
        <f>IFERROR(__xludf.DUMMYFUNCTION("""COMPUTED_VALUE"""),30.0)</f>
        <v>30</v>
      </c>
      <c r="H5" s="9">
        <f>IFERROR(__xludf.DUMMYFUNCTION("""COMPUTED_VALUE"""),17.57)</f>
        <v>17.57</v>
      </c>
      <c r="I5" s="4" t="str">
        <f>IFERROR(__xludf.DUMMYFUNCTION("""COMPUTED_VALUE"""),"Bone Myat Naing")</f>
        <v>Bone Myat Naing</v>
      </c>
      <c r="J5" s="4" t="str">
        <f>IFERROR(__xludf.DUMMYFUNCTION("""COMPUTED_VALUE"""),"Mytel")</f>
        <v>Mytel</v>
      </c>
      <c r="K5" s="10">
        <f>IFERROR(__xludf.DUMMYFUNCTION("""COMPUTED_VALUE"""),46185.0)</f>
        <v>46185</v>
      </c>
      <c r="L5" s="7">
        <f>IFERROR(__xludf.DUMMYFUNCTION("""COMPUTED_VALUE"""),228.0)</f>
        <v>228</v>
      </c>
      <c r="M5" s="7">
        <f>IFERROR(__xludf.DUMMYFUNCTION("""COMPUTED_VALUE"""),166.8)</f>
        <v>166.8</v>
      </c>
      <c r="N5" s="7">
        <f>IFERROR(__xludf.DUMMYFUNCTION("""COMPUTED_VALUE"""),0.0)</f>
        <v>0</v>
      </c>
      <c r="O5" s="7">
        <f>IFERROR(__xludf.DUMMYFUNCTION("""COMPUTED_VALUE"""),166.8)</f>
        <v>166.8</v>
      </c>
      <c r="P5" s="11">
        <f>IFERROR(__xludf.DUMMYFUNCTION("""COMPUTED_VALUE"""),440.0)</f>
        <v>440</v>
      </c>
      <c r="Q5" s="4" t="str">
        <f>IFERROR(__xludf.DUMMYFUNCTION("""COMPUTED_VALUE"""),"-")</f>
        <v>-</v>
      </c>
      <c r="R5" s="4" t="str">
        <f>IFERROR(__xludf.DUMMYFUNCTION("""COMPUTED_VALUE"""),"3.  /TNI0013_1 - /T1 Dawei Bone Myat Naing: Last R: /12/06/26 : /228L  Remain: /166.8 L = Need: /440L =&gt; 02/08/26 :KeyPhoto: /TNI0013_1RP1")</f>
        <v>3.  /TNI0013_1 - /T1 Dawei Bone Myat Naing: Last R: /12/06/26 : /228L  Remain: /166.8 L = Need: /440L =&gt; 02/08/26 :KeyPhoto: /TNI0013_1RP1</v>
      </c>
      <c r="Y5" s="3" t="str">
        <f>IFERROR(__xludf.DUMMYFUNCTION("""COMPUTED_VALUE"""),"🟡Team 4 request 01/08/2026: /TNI0392_1: 440
04/08/2026: /TNI0012_2: 440  /TNI0123_1: 440
05/08/2026: /TNI0015_1: 660")</f>
        <v>🟡Team 4 request 01/08/2026: /TNI0392_1: 440
04/08/2026: /TNI0012_2: 440  /TNI0123_1: 440
05/08/2026: /TNI0015_1: 660</v>
      </c>
      <c r="Z5" s="3"/>
      <c r="AA5" s="3"/>
      <c r="AB5" s="3"/>
    </row>
    <row r="6">
      <c r="A6" s="4">
        <f>IFERROR(__xludf.DUMMYFUNCTION("""COMPUTED_VALUE"""),9.0)</f>
        <v>9</v>
      </c>
      <c r="B6" s="4" t="str">
        <f>IFERROR(__xludf.DUMMYFUNCTION("""COMPUTED_VALUE"""),"TNI0257_1")</f>
        <v>TNI0257_1</v>
      </c>
      <c r="C6" s="4" t="str">
        <f>IFERROR(__xludf.DUMMYFUNCTION("""COMPUTED_VALUE"""),"TNI0257")</f>
        <v>TNI0257</v>
      </c>
      <c r="D6" s="8" t="str">
        <f>IFERROR(__xludf.DUMMYFUNCTION("""COMPUTED_VALUE"""),"MYT_TNI_TEAM01")</f>
        <v>MYT_TNI_TEAM01</v>
      </c>
      <c r="E6" s="4" t="str">
        <f>IFERROR(__xludf.DUMMYFUNCTION("""COMPUTED_VALUE"""),"Grid+DG+BB")</f>
        <v>Grid+DG+BB</v>
      </c>
      <c r="F6" s="4" t="str">
        <f>IFERROR(__xludf.DUMMYFUNCTION("""COMPUTED_VALUE"""),"Dawei")</f>
        <v>Dawei</v>
      </c>
      <c r="G6" s="4">
        <f>IFERROR(__xludf.DUMMYFUNCTION("""COMPUTED_VALUE"""),8.0)</f>
        <v>8</v>
      </c>
      <c r="H6" s="9">
        <f>IFERROR(__xludf.DUMMYFUNCTION("""COMPUTED_VALUE"""),8.43)</f>
        <v>8.43</v>
      </c>
      <c r="I6" s="4" t="str">
        <f>IFERROR(__xludf.DUMMYFUNCTION("""COMPUTED_VALUE"""),"Thar Htoo Aung")</f>
        <v>Thar Htoo Aung</v>
      </c>
      <c r="J6" s="4" t="str">
        <f>IFERROR(__xludf.DUMMYFUNCTION("""COMPUTED_VALUE"""),"Mytel")</f>
        <v>Mytel</v>
      </c>
      <c r="K6" s="10">
        <f>IFERROR(__xludf.DUMMYFUNCTION("""COMPUTED_VALUE"""),46012.0)</f>
        <v>46012</v>
      </c>
      <c r="L6" s="7">
        <f>IFERROR(__xludf.DUMMYFUNCTION("""COMPUTED_VALUE"""),205.34)</f>
        <v>205.34</v>
      </c>
      <c r="M6" s="7">
        <f>IFERROR(__xludf.DUMMYFUNCTION("""COMPUTED_VALUE"""),205.34)</f>
        <v>205.34</v>
      </c>
      <c r="N6" s="7">
        <f>IFERROR(__xludf.DUMMYFUNCTION("""COMPUTED_VALUE"""),167.0)</f>
        <v>167</v>
      </c>
      <c r="O6" s="7">
        <f>IFERROR(__xludf.DUMMYFUNCTION("""COMPUTED_VALUE"""),167.0)</f>
        <v>167</v>
      </c>
      <c r="P6" s="11">
        <f>IFERROR(__xludf.DUMMYFUNCTION("""COMPUTED_VALUE"""),440.0)</f>
        <v>440</v>
      </c>
      <c r="Q6" s="4" t="str">
        <f>IFERROR(__xludf.DUMMYFUNCTION("""COMPUTED_VALUE"""),"-")</f>
        <v>-</v>
      </c>
      <c r="R6" s="4" t="str">
        <f>IFERROR(__xludf.DUMMYFUNCTION("""COMPUTED_VALUE"""),"4.  /TNI0257_1 - /T1 Dawei Thar Htoo Aung: Last R: /21/12/25 : /205.34L  Remain: /167 L = Need: /440L =&gt; 02/08/26 :KeyPhoto: /TNI0257_1RP1")</f>
        <v>4.  /TNI0257_1 - /T1 Dawei Thar Htoo Aung: Last R: /21/12/25 : /205.34L  Remain: /167 L = Need: /440L =&gt; 02/08/26 :KeyPhoto: /TNI0257_1RP1</v>
      </c>
      <c r="Y6" s="1" t="s">
        <v>36</v>
      </c>
      <c r="Z6" s="3"/>
      <c r="AA6" s="3"/>
      <c r="AB6" s="3"/>
    </row>
    <row r="7">
      <c r="A7" s="4">
        <f>IFERROR(__xludf.DUMMYFUNCTION("""COMPUTED_VALUE"""),23.0)</f>
        <v>23</v>
      </c>
      <c r="B7" s="4" t="str">
        <f>IFERROR(__xludf.DUMMYFUNCTION("""COMPUTED_VALUE"""),"TNI0247_1")</f>
        <v>TNI0247_1</v>
      </c>
      <c r="C7" s="4" t="str">
        <f>IFERROR(__xludf.DUMMYFUNCTION("""COMPUTED_VALUE"""),"TNI0247")</f>
        <v>TNI0247</v>
      </c>
      <c r="D7" s="8" t="str">
        <f>IFERROR(__xludf.DUMMYFUNCTION("""COMPUTED_VALUE"""),"MYT_TNI_TEAM01")</f>
        <v>MYT_TNI_TEAM01</v>
      </c>
      <c r="E7" s="4" t="str">
        <f>IFERROR(__xludf.DUMMYFUNCTION("""COMPUTED_VALUE"""),"Solar+Grid+DG+BB")</f>
        <v>Solar+Grid+DG+BB</v>
      </c>
      <c r="F7" s="4" t="str">
        <f>IFERROR(__xludf.DUMMYFUNCTION("""COMPUTED_VALUE"""),"Dawei")</f>
        <v>Dawei</v>
      </c>
      <c r="G7" s="4">
        <f>IFERROR(__xludf.DUMMYFUNCTION("""COMPUTED_VALUE"""),8.0)</f>
        <v>8</v>
      </c>
      <c r="H7" s="9">
        <f>IFERROR(__xludf.DUMMYFUNCTION("""COMPUTED_VALUE"""),8.43)</f>
        <v>8.43</v>
      </c>
      <c r="I7" s="4" t="str">
        <f>IFERROR(__xludf.DUMMYFUNCTION("""COMPUTED_VALUE"""),"Aung Lwin Phyo")</f>
        <v>Aung Lwin Phyo</v>
      </c>
      <c r="J7" s="4" t="str">
        <f>IFERROR(__xludf.DUMMYFUNCTION("""COMPUTED_VALUE"""),"Mytel")</f>
        <v>Mytel</v>
      </c>
      <c r="K7" s="10">
        <f>IFERROR(__xludf.DUMMYFUNCTION("""COMPUTED_VALUE"""),46012.0)</f>
        <v>46012</v>
      </c>
      <c r="L7" s="7">
        <f>IFERROR(__xludf.DUMMYFUNCTION("""COMPUTED_VALUE"""),182.02)</f>
        <v>182.02</v>
      </c>
      <c r="M7" s="7">
        <f>IFERROR(__xludf.DUMMYFUNCTION("""COMPUTED_VALUE"""),182.02)</f>
        <v>182.02</v>
      </c>
      <c r="N7" s="7">
        <f>IFERROR(__xludf.DUMMYFUNCTION("""COMPUTED_VALUE"""),0.0)</f>
        <v>0</v>
      </c>
      <c r="O7" s="7">
        <f>IFERROR(__xludf.DUMMYFUNCTION("""COMPUTED_VALUE"""),182.02)</f>
        <v>182.02</v>
      </c>
      <c r="P7" s="11">
        <f>IFERROR(__xludf.DUMMYFUNCTION("""COMPUTED_VALUE"""),440.0)</f>
        <v>440</v>
      </c>
      <c r="Q7" s="4" t="str">
        <f>IFERROR(__xludf.DUMMYFUNCTION("""COMPUTED_VALUE"""),"-")</f>
        <v>-</v>
      </c>
      <c r="R7" s="4" t="str">
        <f>IFERROR(__xludf.DUMMYFUNCTION("""COMPUTED_VALUE"""),"5.  /TNI0247_1 - /T1 Dawei Aung Lwin Phyo: Last R: /21/12/25 : /182.02L  Remain: /182.02 L = Need: /440L =&gt; 02/08/26 :KeyPhoto: /TNI0247_1RP1")</f>
        <v>5.  /TNI0247_1 - /T1 Dawei Aung Lwin Phyo: Last R: /21/12/25 : /182.02L  Remain: /182.02 L = Need: /440L =&gt; 02/08/26 :KeyPhoto: /TNI0247_1RP1</v>
      </c>
      <c r="Y7" s="3"/>
      <c r="Z7" s="3"/>
      <c r="AA7" s="3"/>
      <c r="AB7" s="3"/>
    </row>
    <row r="8">
      <c r="A8" s="4">
        <f>IFERROR(__xludf.DUMMYFUNCTION("""COMPUTED_VALUE"""),17.0)</f>
        <v>17</v>
      </c>
      <c r="B8" s="4" t="str">
        <f>IFERROR(__xludf.DUMMYFUNCTION("""COMPUTED_VALUE"""),"TNI0053_1")</f>
        <v>TNI0053_1</v>
      </c>
      <c r="C8" s="4" t="str">
        <f>IFERROR(__xludf.DUMMYFUNCTION("""COMPUTED_VALUE"""),"TNI0053")</f>
        <v>TNI0053</v>
      </c>
      <c r="D8" s="8" t="str">
        <f>IFERROR(__xludf.DUMMYFUNCTION("""COMPUTED_VALUE"""),"MYT_TNI_TEAM01")</f>
        <v>MYT_TNI_TEAM01</v>
      </c>
      <c r="E8" s="4" t="str">
        <f>IFERROR(__xludf.DUMMYFUNCTION("""COMPUTED_VALUE"""),"Solar+Grid+DG+BB")</f>
        <v>Solar+Grid+DG+BB</v>
      </c>
      <c r="F8" s="4" t="str">
        <f>IFERROR(__xludf.DUMMYFUNCTION("""COMPUTED_VALUE"""),"Dawei")</f>
        <v>Dawei</v>
      </c>
      <c r="G8" s="4">
        <f>IFERROR(__xludf.DUMMYFUNCTION("""COMPUTED_VALUE"""),8.0)</f>
        <v>8</v>
      </c>
      <c r="H8" s="9">
        <f>IFERROR(__xludf.DUMMYFUNCTION("""COMPUTED_VALUE"""),8.43)</f>
        <v>8.43</v>
      </c>
      <c r="I8" s="4" t="str">
        <f>IFERROR(__xludf.DUMMYFUNCTION("""COMPUTED_VALUE"""),"Bone Myat Naing")</f>
        <v>Bone Myat Naing</v>
      </c>
      <c r="J8" s="12" t="str">
        <f>IFERROR(__xludf.DUMMYFUNCTION("""COMPUTED_VALUE"""),"MEC")</f>
        <v>MEC</v>
      </c>
      <c r="K8" s="10">
        <f>IFERROR(__xludf.DUMMYFUNCTION("""COMPUTED_VALUE"""),46012.0)</f>
        <v>46012</v>
      </c>
      <c r="L8" s="7">
        <f>IFERROR(__xludf.DUMMYFUNCTION("""COMPUTED_VALUE"""),193.77)</f>
        <v>193.77</v>
      </c>
      <c r="M8" s="7">
        <f>IFERROR(__xludf.DUMMYFUNCTION("""COMPUTED_VALUE"""),193.77)</f>
        <v>193.77</v>
      </c>
      <c r="N8" s="7">
        <f>IFERROR(__xludf.DUMMYFUNCTION("""COMPUTED_VALUE"""),0.0)</f>
        <v>0</v>
      </c>
      <c r="O8" s="7">
        <f>IFERROR(__xludf.DUMMYFUNCTION("""COMPUTED_VALUE"""),193.77)</f>
        <v>193.77</v>
      </c>
      <c r="P8" s="11">
        <f>IFERROR(__xludf.DUMMYFUNCTION("""COMPUTED_VALUE"""),440.0)</f>
        <v>440</v>
      </c>
      <c r="Q8" s="4" t="str">
        <f>IFERROR(__xludf.DUMMYFUNCTION("""COMPUTED_VALUE"""),"-")</f>
        <v>-</v>
      </c>
      <c r="R8" s="4" t="str">
        <f>IFERROR(__xludf.DUMMYFUNCTION("""COMPUTED_VALUE"""),"6.  /TNI0053_1 - /T1 Dawei Bone Myat Naing: Last R: /21/12/25 : /193.77L  Remain: /193.77 L = Need: /440L =&gt; 02/08/26 :KeyPhoto: /TNI0053_1RP1")</f>
        <v>6.  /TNI0053_1 - /T1 Dawei Bone Myat Naing: Last R: /21/12/25 : /193.77L  Remain: /193.77 L = Need: /440L =&gt; 02/08/26 :KeyPhoto: /TNI0053_1RP1</v>
      </c>
      <c r="Y8" s="3"/>
      <c r="Z8" s="3"/>
      <c r="AA8" s="3"/>
      <c r="AB8" s="3"/>
    </row>
    <row r="9">
      <c r="A9" s="4">
        <f>IFERROR(__xludf.DUMMYFUNCTION("""COMPUTED_VALUE"""),25.0)</f>
        <v>25</v>
      </c>
      <c r="B9" s="4" t="str">
        <f>IFERROR(__xludf.DUMMYFUNCTION("""COMPUTED_VALUE"""),"TNI0251_1")</f>
        <v>TNI0251_1</v>
      </c>
      <c r="C9" s="4" t="str">
        <f>IFERROR(__xludf.DUMMYFUNCTION("""COMPUTED_VALUE"""),"TNI0251")</f>
        <v>TNI0251</v>
      </c>
      <c r="D9" s="8" t="str">
        <f>IFERROR(__xludf.DUMMYFUNCTION("""COMPUTED_VALUE"""),"MYT_TNI_TEAM01")</f>
        <v>MYT_TNI_TEAM01</v>
      </c>
      <c r="E9" s="4" t="str">
        <f>IFERROR(__xludf.DUMMYFUNCTION("""COMPUTED_VALUE"""),"Solar+Grid+DG+BB")</f>
        <v>Solar+Grid+DG+BB</v>
      </c>
      <c r="F9" s="4" t="str">
        <f>IFERROR(__xludf.DUMMYFUNCTION("""COMPUTED_VALUE"""),"Dawei")</f>
        <v>Dawei</v>
      </c>
      <c r="G9" s="4">
        <f>IFERROR(__xludf.DUMMYFUNCTION("""COMPUTED_VALUE"""),8.0)</f>
        <v>8</v>
      </c>
      <c r="H9" s="9">
        <f>IFERROR(__xludf.DUMMYFUNCTION("""COMPUTED_VALUE"""),8.43)</f>
        <v>8.43</v>
      </c>
      <c r="I9" s="4" t="str">
        <f>IFERROR(__xludf.DUMMYFUNCTION("""COMPUTED_VALUE"""),"Phyo Ko Ko")</f>
        <v>Phyo Ko Ko</v>
      </c>
      <c r="J9" s="4" t="str">
        <f>IFERROR(__xludf.DUMMYFUNCTION("""COMPUTED_VALUE"""),"Mytel")</f>
        <v>Mytel</v>
      </c>
      <c r="K9" s="10">
        <f>IFERROR(__xludf.DUMMYFUNCTION("""COMPUTED_VALUE"""),46012.0)</f>
        <v>46012</v>
      </c>
      <c r="L9" s="7">
        <f>IFERROR(__xludf.DUMMYFUNCTION("""COMPUTED_VALUE"""),199.72)</f>
        <v>199.72</v>
      </c>
      <c r="M9" s="7">
        <f>IFERROR(__xludf.DUMMYFUNCTION("""COMPUTED_VALUE"""),199.72)</f>
        <v>199.72</v>
      </c>
      <c r="N9" s="7">
        <f>IFERROR(__xludf.DUMMYFUNCTION("""COMPUTED_VALUE"""),0.0)</f>
        <v>0</v>
      </c>
      <c r="O9" s="7">
        <f>IFERROR(__xludf.DUMMYFUNCTION("""COMPUTED_VALUE"""),199.72)</f>
        <v>199.72</v>
      </c>
      <c r="P9" s="11">
        <f>IFERROR(__xludf.DUMMYFUNCTION("""COMPUTED_VALUE"""),440.0)</f>
        <v>440</v>
      </c>
      <c r="Q9" s="4" t="str">
        <f>IFERROR(__xludf.DUMMYFUNCTION("""COMPUTED_VALUE"""),"-")</f>
        <v>-</v>
      </c>
      <c r="R9" s="4" t="str">
        <f>IFERROR(__xludf.DUMMYFUNCTION("""COMPUTED_VALUE"""),"7.  /TNI0251_1 - /T1 Dawei Phyo Ko Ko: Last R: /21/12/25 : /199.72L  Remain: /199.72 L = Need: /440L =&gt; 02/08/26 :KeyPhoto: /TNI0251_1RP1")</f>
        <v>7.  /TNI0251_1 - /T1 Dawei Phyo Ko Ko: Last R: /21/12/25 : /199.72L  Remain: /199.72 L = Need: /440L =&gt; 02/08/26 :KeyPhoto: /TNI0251_1RP1</v>
      </c>
      <c r="Y9" s="3"/>
      <c r="Z9" s="3"/>
      <c r="AA9" s="3"/>
      <c r="AB9" s="3"/>
    </row>
    <row r="10">
      <c r="A10" s="4">
        <f>IFERROR(__xludf.DUMMYFUNCTION("""COMPUTED_VALUE"""),34.0)</f>
        <v>34</v>
      </c>
      <c r="B10" s="4" t="str">
        <f>IFERROR(__xludf.DUMMYFUNCTION("""COMPUTED_VALUE"""),"TNI0394_1")</f>
        <v>TNI0394_1</v>
      </c>
      <c r="C10" s="4" t="str">
        <f>IFERROR(__xludf.DUMMYFUNCTION("""COMPUTED_VALUE"""),"TNI0394")</f>
        <v>TNI0394</v>
      </c>
      <c r="D10" s="8" t="str">
        <f>IFERROR(__xludf.DUMMYFUNCTION("""COMPUTED_VALUE"""),"MYT_TNI_TEAM01")</f>
        <v>MYT_TNI_TEAM01</v>
      </c>
      <c r="E10" s="4" t="str">
        <f>IFERROR(__xludf.DUMMYFUNCTION("""COMPUTED_VALUE"""),"DG+BB")</f>
        <v>DG+BB</v>
      </c>
      <c r="F10" s="4" t="str">
        <f>IFERROR(__xludf.DUMMYFUNCTION("""COMPUTED_VALUE"""),"Launglon")</f>
        <v>Launglon</v>
      </c>
      <c r="G10" s="4" t="str">
        <f>IFERROR(__xludf.DUMMYFUNCTION("""COMPUTED_VALUE"""),"12D")</f>
        <v>12D</v>
      </c>
      <c r="H10" s="9">
        <f>IFERROR(__xludf.DUMMYFUNCTION("""COMPUTED_VALUE"""),15.14)</f>
        <v>15.14</v>
      </c>
      <c r="I10" s="4" t="str">
        <f>IFERROR(__xludf.DUMMYFUNCTION("""COMPUTED_VALUE"""),"Thar Htoo Aung")</f>
        <v>Thar Htoo Aung</v>
      </c>
      <c r="J10" s="4" t="str">
        <f>IFERROR(__xludf.DUMMYFUNCTION("""COMPUTED_VALUE"""),"Mytel")</f>
        <v>Mytel</v>
      </c>
      <c r="K10" s="10">
        <f>IFERROR(__xludf.DUMMYFUNCTION("""COMPUTED_VALUE"""),46160.0)</f>
        <v>46160</v>
      </c>
      <c r="L10" s="7">
        <f>IFERROR(__xludf.DUMMYFUNCTION("""COMPUTED_VALUE"""),844.0)</f>
        <v>844</v>
      </c>
      <c r="M10" s="7">
        <f>IFERROR(__xludf.DUMMYFUNCTION("""COMPUTED_VALUE"""),0.0)</f>
        <v>0</v>
      </c>
      <c r="N10" s="7">
        <f>IFERROR(__xludf.DUMMYFUNCTION("""COMPUTED_VALUE"""),0.0)</f>
        <v>0</v>
      </c>
      <c r="O10" s="7">
        <f>IFERROR(__xludf.DUMMYFUNCTION("""COMPUTED_VALUE"""),0.0)</f>
        <v>0</v>
      </c>
      <c r="P10" s="11">
        <f>IFERROR(__xludf.DUMMYFUNCTION("""COMPUTED_VALUE"""),440.0)</f>
        <v>440</v>
      </c>
      <c r="Q10" s="4" t="str">
        <f>IFERROR(__xludf.DUMMYFUNCTION("""COMPUTED_VALUE"""),"-")</f>
        <v>-</v>
      </c>
      <c r="R10" s="4" t="str">
        <f>IFERROR(__xludf.DUMMYFUNCTION("""COMPUTED_VALUE"""),"8.  /TNI0394_1 - /T1 Launglon Thar Htoo Aung: Last R: /18/05/26 : /844L  Remain: /0 L = Need: /440L =&gt; 02/08/26 :KeyPhoto: /TNI0394_1RP1")</f>
        <v>8.  /TNI0394_1 - /T1 Launglon Thar Htoo Aung: Last R: /18/05/26 : /844L  Remain: /0 L = Need: /440L =&gt; 02/08/26 :KeyPhoto: /TNI0394_1RP1</v>
      </c>
      <c r="Y10" s="19"/>
      <c r="Z10" s="3"/>
      <c r="AA10" s="3"/>
      <c r="AB10" s="3"/>
    </row>
    <row r="11">
      <c r="A11" s="4">
        <f>IFERROR(__xludf.DUMMYFUNCTION("""COMPUTED_VALUE"""),39.0)</f>
        <v>39</v>
      </c>
      <c r="B11" s="4" t="str">
        <f>IFERROR(__xludf.DUMMYFUNCTION("""COMPUTED_VALUE"""),"TNI0038_1")</f>
        <v>TNI0038_1</v>
      </c>
      <c r="C11" s="4" t="str">
        <f>IFERROR(__xludf.DUMMYFUNCTION("""COMPUTED_VALUE"""),"TNI0038")</f>
        <v>TNI0038</v>
      </c>
      <c r="D11" s="8" t="str">
        <f>IFERROR(__xludf.DUMMYFUNCTION("""COMPUTED_VALUE"""),"MYT_TNI_TEAM01")</f>
        <v>MYT_TNI_TEAM01</v>
      </c>
      <c r="E11" s="4" t="str">
        <f>IFERROR(__xludf.DUMMYFUNCTION("""COMPUTED_VALUE"""),"Grid+DG+BB")</f>
        <v>Grid+DG+BB</v>
      </c>
      <c r="F11" s="4" t="str">
        <f>IFERROR(__xludf.DUMMYFUNCTION("""COMPUTED_VALUE"""),"Launglon")</f>
        <v>Launglon</v>
      </c>
      <c r="G11" s="4">
        <f>IFERROR(__xludf.DUMMYFUNCTION("""COMPUTED_VALUE"""),8.0)</f>
        <v>8</v>
      </c>
      <c r="H11" s="9">
        <f>IFERROR(__xludf.DUMMYFUNCTION("""COMPUTED_VALUE"""),8.43)</f>
        <v>8.43</v>
      </c>
      <c r="I11" s="4" t="str">
        <f>IFERROR(__xludf.DUMMYFUNCTION("""COMPUTED_VALUE"""),"Phyo Ko Ko")</f>
        <v>Phyo Ko Ko</v>
      </c>
      <c r="J11" s="4" t="str">
        <f>IFERROR(__xludf.DUMMYFUNCTION("""COMPUTED_VALUE"""),"Mytel")</f>
        <v>Mytel</v>
      </c>
      <c r="K11" s="10">
        <f>IFERROR(__xludf.DUMMYFUNCTION("""COMPUTED_VALUE"""),46145.0)</f>
        <v>46145</v>
      </c>
      <c r="L11" s="7">
        <f>IFERROR(__xludf.DUMMYFUNCTION("""COMPUTED_VALUE"""),615.0)</f>
        <v>615</v>
      </c>
      <c r="M11" s="7">
        <f>IFERROR(__xludf.DUMMYFUNCTION("""COMPUTED_VALUE"""),0.0)</f>
        <v>0</v>
      </c>
      <c r="N11" s="7">
        <f>IFERROR(__xludf.DUMMYFUNCTION("""COMPUTED_VALUE"""),0.0)</f>
        <v>0</v>
      </c>
      <c r="O11" s="7">
        <f>IFERROR(__xludf.DUMMYFUNCTION("""COMPUTED_VALUE"""),0.0)</f>
        <v>0</v>
      </c>
      <c r="P11" s="11">
        <f>IFERROR(__xludf.DUMMYFUNCTION("""COMPUTED_VALUE"""),440.0)</f>
        <v>440</v>
      </c>
      <c r="Q11" s="4" t="str">
        <f>IFERROR(__xludf.DUMMYFUNCTION("""COMPUTED_VALUE"""),"-")</f>
        <v>-</v>
      </c>
      <c r="R11" s="4" t="str">
        <f>IFERROR(__xludf.DUMMYFUNCTION("""COMPUTED_VALUE"""),"9.  /TNI0038_1 - /T1 Launglon Phyo Ko Ko: Last R: /03/05/26 : /615L  Remain: /0 L = Need: /440L =&gt; 02/08/26 :KeyPhoto: /TNI0038_1RP1")</f>
        <v>9.  /TNI0038_1 - /T1 Launglon Phyo Ko Ko: Last R: /03/05/26 : /615L  Remain: /0 L = Need: /440L =&gt; 02/08/26 :KeyPhoto: /TNI0038_1RP1</v>
      </c>
      <c r="Y11" s="3"/>
      <c r="Z11" s="3"/>
      <c r="AA11" s="3"/>
      <c r="AB11" s="3"/>
    </row>
    <row r="12">
      <c r="A12" s="4">
        <f>IFERROR(__xludf.DUMMYFUNCTION("""COMPUTED_VALUE"""),29.0)</f>
        <v>29</v>
      </c>
      <c r="B12" s="4" t="str">
        <f>IFERROR(__xludf.DUMMYFUNCTION("""COMPUTED_VALUE"""),"TNI0207_1")</f>
        <v>TNI0207_1</v>
      </c>
      <c r="C12" s="4" t="str">
        <f>IFERROR(__xludf.DUMMYFUNCTION("""COMPUTED_VALUE"""),"TNI0207")</f>
        <v>TNI0207</v>
      </c>
      <c r="D12" s="8" t="str">
        <f>IFERROR(__xludf.DUMMYFUNCTION("""COMPUTED_VALUE"""),"MYT_TNI_TEAM01")</f>
        <v>MYT_TNI_TEAM01</v>
      </c>
      <c r="E12" s="4" t="str">
        <f>IFERROR(__xludf.DUMMYFUNCTION("""COMPUTED_VALUE"""),"DG+BB")</f>
        <v>DG+BB</v>
      </c>
      <c r="F12" s="4" t="str">
        <f>IFERROR(__xludf.DUMMYFUNCTION("""COMPUTED_VALUE"""),"Launglon")</f>
        <v>Launglon</v>
      </c>
      <c r="G12" s="4">
        <f>IFERROR(__xludf.DUMMYFUNCTION("""COMPUTED_VALUE"""),8.0)</f>
        <v>8</v>
      </c>
      <c r="H12" s="9">
        <f>IFERROR(__xludf.DUMMYFUNCTION("""COMPUTED_VALUE"""),8.43)</f>
        <v>8.43</v>
      </c>
      <c r="I12" s="4" t="str">
        <f>IFERROR(__xludf.DUMMYFUNCTION("""COMPUTED_VALUE"""),"Thar Htoo Aung")</f>
        <v>Thar Htoo Aung</v>
      </c>
      <c r="J12" s="12" t="str">
        <f>IFERROR(__xludf.DUMMYFUNCTION("""COMPUTED_VALUE"""),"MEC.PNC")</f>
        <v>MEC.PNC</v>
      </c>
      <c r="K12" s="10">
        <f>IFERROR(__xludf.DUMMYFUNCTION("""COMPUTED_VALUE"""),46165.0)</f>
        <v>46165</v>
      </c>
      <c r="L12" s="7">
        <f>IFERROR(__xludf.DUMMYFUNCTION("""COMPUTED_VALUE"""),561.0)</f>
        <v>561</v>
      </c>
      <c r="M12" s="7">
        <f>IFERROR(__xludf.DUMMYFUNCTION("""COMPUTED_VALUE"""),0.10000000000002274)</f>
        <v>0.1</v>
      </c>
      <c r="N12" s="7">
        <f>IFERROR(__xludf.DUMMYFUNCTION("""COMPUTED_VALUE"""),0.0)</f>
        <v>0</v>
      </c>
      <c r="O12" s="7">
        <f>IFERROR(__xludf.DUMMYFUNCTION("""COMPUTED_VALUE"""),0.10000000000002274)</f>
        <v>0.1</v>
      </c>
      <c r="P12" s="11">
        <f>IFERROR(__xludf.DUMMYFUNCTION("""COMPUTED_VALUE"""),440.0)</f>
        <v>440</v>
      </c>
      <c r="Q12" s="4" t="str">
        <f>IFERROR(__xludf.DUMMYFUNCTION("""COMPUTED_VALUE"""),"-")</f>
        <v>-</v>
      </c>
      <c r="R12" s="4" t="str">
        <f>IFERROR(__xludf.DUMMYFUNCTION("""COMPUTED_VALUE"""),"10.  /TNI0207_1 - /T1 Launglon Thar Htoo Aung: Last R: /23/05/26 : /561L  Remain: /0.100000000000023 L = Need: /440L =&gt; 02/08/26 :KeyPhoto: /TNI0207_1RP1")</f>
        <v>10.  /TNI0207_1 - /T1 Launglon Thar Htoo Aung: Last R: /23/05/26 : /561L  Remain: /0.100000000000023 L = Need: /440L =&gt; 02/08/26 :KeyPhoto: /TNI0207_1RP1</v>
      </c>
      <c r="Y12" s="3"/>
      <c r="Z12" s="3"/>
      <c r="AA12" s="3"/>
      <c r="AB12" s="3"/>
    </row>
    <row r="13">
      <c r="A13" s="4">
        <f>IFERROR(__xludf.DUMMYFUNCTION("""COMPUTED_VALUE"""),41.0)</f>
        <v>41</v>
      </c>
      <c r="B13" s="4" t="str">
        <f>IFERROR(__xludf.DUMMYFUNCTION("""COMPUTED_VALUE"""),"TNI0170_1")</f>
        <v>TNI0170_1</v>
      </c>
      <c r="C13" s="4" t="str">
        <f>IFERROR(__xludf.DUMMYFUNCTION("""COMPUTED_VALUE"""),"TNI0170")</f>
        <v>TNI0170</v>
      </c>
      <c r="D13" s="8" t="str">
        <f>IFERROR(__xludf.DUMMYFUNCTION("""COMPUTED_VALUE"""),"MYT_TNI_TEAM01")</f>
        <v>MYT_TNI_TEAM01</v>
      </c>
      <c r="E13" s="4" t="str">
        <f>IFERROR(__xludf.DUMMYFUNCTION("""COMPUTED_VALUE"""),"Grid+DG+BB")</f>
        <v>Grid+DG+BB</v>
      </c>
      <c r="F13" s="4" t="str">
        <f>IFERROR(__xludf.DUMMYFUNCTION("""COMPUTED_VALUE"""),"Launglon")</f>
        <v>Launglon</v>
      </c>
      <c r="G13" s="4">
        <f>IFERROR(__xludf.DUMMYFUNCTION("""COMPUTED_VALUE"""),8.0)</f>
        <v>8</v>
      </c>
      <c r="H13" s="9">
        <f>IFERROR(__xludf.DUMMYFUNCTION("""COMPUTED_VALUE"""),8.43)</f>
        <v>8.43</v>
      </c>
      <c r="I13" s="4" t="str">
        <f>IFERROR(__xludf.DUMMYFUNCTION("""COMPUTED_VALUE"""),"Aung Lwin Phyo")</f>
        <v>Aung Lwin Phyo</v>
      </c>
      <c r="J13" s="12" t="str">
        <f>IFERROR(__xludf.DUMMYFUNCTION("""COMPUTED_VALUE"""),"PAT")</f>
        <v>PAT</v>
      </c>
      <c r="K13" s="10">
        <f>IFERROR(__xludf.DUMMYFUNCTION("""COMPUTED_VALUE"""),46012.0)</f>
        <v>46012</v>
      </c>
      <c r="L13" s="7">
        <f>IFERROR(__xludf.DUMMYFUNCTION("""COMPUTED_VALUE"""),190.71)</f>
        <v>190.71</v>
      </c>
      <c r="M13" s="7">
        <f>IFERROR(__xludf.DUMMYFUNCTION("""COMPUTED_VALUE"""),190.71)</f>
        <v>190.71</v>
      </c>
      <c r="N13" s="7">
        <f>IFERROR(__xludf.DUMMYFUNCTION("""COMPUTED_VALUE"""),0.0)</f>
        <v>0</v>
      </c>
      <c r="O13" s="7">
        <f>IFERROR(__xludf.DUMMYFUNCTION("""COMPUTED_VALUE"""),190.71)</f>
        <v>190.71</v>
      </c>
      <c r="P13" s="11">
        <f>IFERROR(__xludf.DUMMYFUNCTION("""COMPUTED_VALUE"""),440.0)</f>
        <v>440</v>
      </c>
      <c r="Q13" s="4" t="str">
        <f>IFERROR(__xludf.DUMMYFUNCTION("""COMPUTED_VALUE"""),"-")</f>
        <v>-</v>
      </c>
      <c r="R13" s="4" t="str">
        <f>IFERROR(__xludf.DUMMYFUNCTION("""COMPUTED_VALUE"""),"11.  /TNI0170_1 - /T1 Launglon Aung Lwin Phyo: Last R: /21/12/25 : /190.71L  Remain: /190.71 L = Need: /440L =&gt; 02/08/26 :KeyPhoto: /TNI0170_1RP1")</f>
        <v>11.  /TNI0170_1 - /T1 Launglon Aung Lwin Phyo: Last R: /21/12/25 : /190.71L  Remain: /190.71 L = Need: /440L =&gt; 02/08/26 :KeyPhoto: /TNI0170_1RP1</v>
      </c>
      <c r="Y13" s="3"/>
      <c r="Z13" s="3"/>
      <c r="AA13" s="3"/>
      <c r="AB13" s="3"/>
    </row>
    <row r="14">
      <c r="A14" s="4">
        <f>IFERROR(__xludf.DUMMYFUNCTION("""COMPUTED_VALUE"""),38.0)</f>
        <v>38</v>
      </c>
      <c r="B14" s="4" t="str">
        <f>IFERROR(__xludf.DUMMYFUNCTION("""COMPUTED_VALUE"""),"TNI0031_1")</f>
        <v>TNI0031_1</v>
      </c>
      <c r="C14" s="4" t="str">
        <f>IFERROR(__xludf.DUMMYFUNCTION("""COMPUTED_VALUE"""),"TNI0031")</f>
        <v>TNI0031</v>
      </c>
      <c r="D14" s="8" t="str">
        <f>IFERROR(__xludf.DUMMYFUNCTION("""COMPUTED_VALUE"""),"MYT_TNI_TEAM01")</f>
        <v>MYT_TNI_TEAM01</v>
      </c>
      <c r="E14" s="4" t="str">
        <f>IFERROR(__xludf.DUMMYFUNCTION("""COMPUTED_VALUE"""),"Grid+DG+BB")</f>
        <v>Grid+DG+BB</v>
      </c>
      <c r="F14" s="4" t="str">
        <f>IFERROR(__xludf.DUMMYFUNCTION("""COMPUTED_VALUE"""),"Launglon")</f>
        <v>Launglon</v>
      </c>
      <c r="G14" s="4">
        <f>IFERROR(__xludf.DUMMYFUNCTION("""COMPUTED_VALUE"""),8.0)</f>
        <v>8</v>
      </c>
      <c r="H14" s="9">
        <f>IFERROR(__xludf.DUMMYFUNCTION("""COMPUTED_VALUE"""),8.43)</f>
        <v>8.43</v>
      </c>
      <c r="I14" s="4" t="str">
        <f>IFERROR(__xludf.DUMMYFUNCTION("""COMPUTED_VALUE"""),"Phyo Htet Aung")</f>
        <v>Phyo Htet Aung</v>
      </c>
      <c r="J14" s="4" t="str">
        <f>IFERROR(__xludf.DUMMYFUNCTION("""COMPUTED_VALUE"""),"Mytel")</f>
        <v>Mytel</v>
      </c>
      <c r="K14" s="10">
        <f>IFERROR(__xludf.DUMMYFUNCTION("""COMPUTED_VALUE"""),46219.0)</f>
        <v>46219</v>
      </c>
      <c r="L14" s="7">
        <f>IFERROR(__xludf.DUMMYFUNCTION("""COMPUTED_VALUE"""),481.0)</f>
        <v>481</v>
      </c>
      <c r="M14" s="7">
        <f>IFERROR(__xludf.DUMMYFUNCTION("""COMPUTED_VALUE"""),267.14)</f>
        <v>267.14</v>
      </c>
      <c r="N14" s="7">
        <f>IFERROR(__xludf.DUMMYFUNCTION("""COMPUTED_VALUE"""),193.0)</f>
        <v>193</v>
      </c>
      <c r="O14" s="7">
        <f>IFERROR(__xludf.DUMMYFUNCTION("""COMPUTED_VALUE"""),193.0)</f>
        <v>193</v>
      </c>
      <c r="P14" s="11">
        <f>IFERROR(__xludf.DUMMYFUNCTION("""COMPUTED_VALUE"""),440.0)</f>
        <v>440</v>
      </c>
      <c r="Q14" s="4" t="str">
        <f>IFERROR(__xludf.DUMMYFUNCTION("""COMPUTED_VALUE"""),"-")</f>
        <v>-</v>
      </c>
      <c r="R14" s="4" t="str">
        <f>IFERROR(__xludf.DUMMYFUNCTION("""COMPUTED_VALUE"""),"12.  /TNI0031_1 - /T1 Launglon Phyo Htet Aung: Last R: /16/07/26 : /481L  Remain: /193 L = Need: /440L =&gt; 02/08/26 :KeyPhoto: /TNI0031_1RP1")</f>
        <v>12.  /TNI0031_1 - /T1 Launglon Phyo Htet Aung: Last R: /16/07/26 : /481L  Remain: /193 L = Need: /440L =&gt; 02/08/26 :KeyPhoto: /TNI0031_1RP1</v>
      </c>
      <c r="Y14" s="3"/>
      <c r="Z14" s="3"/>
      <c r="AA14" s="3"/>
      <c r="AB14" s="3"/>
    </row>
    <row r="15">
      <c r="A15" s="4">
        <f>IFERROR(__xludf.DUMMYFUNCTION("""COMPUTED_VALUE"""),52.0)</f>
        <v>52</v>
      </c>
      <c r="B15" s="4" t="str">
        <f>IFERROR(__xludf.DUMMYFUNCTION("""COMPUTED_VALUE"""),"TNI0321_1")</f>
        <v>TNI0321_1</v>
      </c>
      <c r="C15" s="4" t="str">
        <f>IFERROR(__xludf.DUMMYFUNCTION("""COMPUTED_VALUE"""),"TNI0321")</f>
        <v>TNI0321</v>
      </c>
      <c r="D15" s="8" t="str">
        <f>IFERROR(__xludf.DUMMYFUNCTION("""COMPUTED_VALUE"""),"MYT_TNI_TEAM01")</f>
        <v>MYT_TNI_TEAM01</v>
      </c>
      <c r="E15" s="4" t="str">
        <f>IFERROR(__xludf.DUMMYFUNCTION("""COMPUTED_VALUE"""),"DG+BB")</f>
        <v>DG+BB</v>
      </c>
      <c r="F15" s="4" t="str">
        <f>IFERROR(__xludf.DUMMYFUNCTION("""COMPUTED_VALUE"""),"Thayetchaung")</f>
        <v>Thayetchaung</v>
      </c>
      <c r="G15" s="4">
        <f>IFERROR(__xludf.DUMMYFUNCTION("""COMPUTED_VALUE"""),12.0)</f>
        <v>12</v>
      </c>
      <c r="H15" s="9">
        <f>IFERROR(__xludf.DUMMYFUNCTION("""COMPUTED_VALUE"""),13.4)</f>
        <v>13.4</v>
      </c>
      <c r="I15" s="4" t="str">
        <f>IFERROR(__xludf.DUMMYFUNCTION("""COMPUTED_VALUE"""),"Thar Htoo Aung")</f>
        <v>Thar Htoo Aung</v>
      </c>
      <c r="J15" s="4" t="str">
        <f>IFERROR(__xludf.DUMMYFUNCTION("""COMPUTED_VALUE"""),"Mytel")</f>
        <v>Mytel</v>
      </c>
      <c r="K15" s="10">
        <f>IFERROR(__xludf.DUMMYFUNCTION("""COMPUTED_VALUE"""),46056.0)</f>
        <v>46056</v>
      </c>
      <c r="L15" s="7">
        <f>IFERROR(__xludf.DUMMYFUNCTION("""COMPUTED_VALUE"""),925.0)</f>
        <v>925</v>
      </c>
      <c r="M15" s="7">
        <f>IFERROR(__xludf.DUMMYFUNCTION("""COMPUTED_VALUE"""),0.0)</f>
        <v>0</v>
      </c>
      <c r="N15" s="7">
        <f>IFERROR(__xludf.DUMMYFUNCTION("""COMPUTED_VALUE"""),0.0)</f>
        <v>0</v>
      </c>
      <c r="O15" s="7">
        <f>IFERROR(__xludf.DUMMYFUNCTION("""COMPUTED_VALUE"""),0.0)</f>
        <v>0</v>
      </c>
      <c r="P15" s="11">
        <f>IFERROR(__xludf.DUMMYFUNCTION("""COMPUTED_VALUE"""),440.0)</f>
        <v>440</v>
      </c>
      <c r="Q15" s="4" t="str">
        <f>IFERROR(__xludf.DUMMYFUNCTION("""COMPUTED_VALUE"""),"TNI0321")</f>
        <v>TNI0321</v>
      </c>
      <c r="R15" s="4" t="str">
        <f>IFERROR(__xludf.DUMMYFUNCTION("""COMPUTED_VALUE"""),"13.  /TNI0321_1 - /T1 Thayetchaung Thar Htoo Aung: Last R: /03/02/26 : /925L  Remain: /0 L = Need: /440L =&gt; 02/08/26 :KeyPhoto: /TNI0321_1RP1")</f>
        <v>13.  /TNI0321_1 - /T1 Thayetchaung Thar Htoo Aung: Last R: /03/02/26 : /925L  Remain: /0 L = Need: /440L =&gt; 02/08/26 :KeyPhoto: /TNI0321_1RP1</v>
      </c>
      <c r="Y15" s="3"/>
      <c r="Z15" s="3"/>
      <c r="AA15" s="3"/>
      <c r="AB15" s="3"/>
    </row>
    <row r="16">
      <c r="A16" s="4">
        <f>IFERROR(__xludf.DUMMYFUNCTION("""COMPUTED_VALUE"""),51.0)</f>
        <v>51</v>
      </c>
      <c r="B16" s="4" t="str">
        <f>IFERROR(__xludf.DUMMYFUNCTION("""COMPUTED_VALUE"""),"TNI0319_1")</f>
        <v>TNI0319_1</v>
      </c>
      <c r="C16" s="4" t="str">
        <f>IFERROR(__xludf.DUMMYFUNCTION("""COMPUTED_VALUE"""),"TNI0319")</f>
        <v>TNI0319</v>
      </c>
      <c r="D16" s="8" t="str">
        <f>IFERROR(__xludf.DUMMYFUNCTION("""COMPUTED_VALUE"""),"MYT_TNI_TEAM01")</f>
        <v>MYT_TNI_TEAM01</v>
      </c>
      <c r="E16" s="4" t="str">
        <f>IFERROR(__xludf.DUMMYFUNCTION("""COMPUTED_VALUE"""),"DG+BB")</f>
        <v>DG+BB</v>
      </c>
      <c r="F16" s="4" t="str">
        <f>IFERROR(__xludf.DUMMYFUNCTION("""COMPUTED_VALUE"""),"Thayetchaung")</f>
        <v>Thayetchaung</v>
      </c>
      <c r="G16" s="4">
        <f>IFERROR(__xludf.DUMMYFUNCTION("""COMPUTED_VALUE"""),12.0)</f>
        <v>12</v>
      </c>
      <c r="H16" s="9">
        <f>IFERROR(__xludf.DUMMYFUNCTION("""COMPUTED_VALUE"""),15.14)</f>
        <v>15.14</v>
      </c>
      <c r="I16" s="4" t="str">
        <f>IFERROR(__xludf.DUMMYFUNCTION("""COMPUTED_VALUE"""),"Aung Lwin Phyo")</f>
        <v>Aung Lwin Phyo</v>
      </c>
      <c r="J16" s="4" t="str">
        <f>IFERROR(__xludf.DUMMYFUNCTION("""COMPUTED_VALUE"""),"Mytel")</f>
        <v>Mytel</v>
      </c>
      <c r="K16" s="10">
        <f>IFERROR(__xludf.DUMMYFUNCTION("""COMPUTED_VALUE"""),46231.0)</f>
        <v>46231</v>
      </c>
      <c r="L16" s="7">
        <f>IFERROR(__xludf.DUMMYFUNCTION("""COMPUTED_VALUE"""),227.0)</f>
        <v>227</v>
      </c>
      <c r="M16" s="7">
        <f>IFERROR(__xludf.DUMMYFUNCTION("""COMPUTED_VALUE"""),119.35)</f>
        <v>119.35</v>
      </c>
      <c r="N16" s="7">
        <f>IFERROR(__xludf.DUMMYFUNCTION("""COMPUTED_VALUE"""),0.0)</f>
        <v>0</v>
      </c>
      <c r="O16" s="7">
        <f>IFERROR(__xludf.DUMMYFUNCTION("""COMPUTED_VALUE"""),119.35)</f>
        <v>119.35</v>
      </c>
      <c r="P16" s="11">
        <f>IFERROR(__xludf.DUMMYFUNCTION("""COMPUTED_VALUE"""),440.0)</f>
        <v>440</v>
      </c>
      <c r="Q16" s="4" t="str">
        <f>IFERROR(__xludf.DUMMYFUNCTION("""COMPUTED_VALUE"""),"-")</f>
        <v>-</v>
      </c>
      <c r="R16" s="4" t="str">
        <f>IFERROR(__xludf.DUMMYFUNCTION("""COMPUTED_VALUE"""),"14.  /TNI0319_1 - /T1 Thayetchaung Aung Lwin Phyo: Last R: /28/07/26 : /227L  Remain: /119.35 L = Need: /440L =&gt; 02/08/26 :KeyPhoto: /TNI0319_1RP1")</f>
        <v>14.  /TNI0319_1 - /T1 Thayetchaung Aung Lwin Phyo: Last R: /28/07/26 : /227L  Remain: /119.35 L = Need: /440L =&gt; 02/08/26 :KeyPhoto: /TNI0319_1RP1</v>
      </c>
      <c r="Y16" s="3"/>
      <c r="Z16" s="3"/>
      <c r="AA16" s="3"/>
      <c r="AB16" s="3"/>
    </row>
    <row r="17">
      <c r="A17" s="4">
        <f>IFERROR(__xludf.DUMMYFUNCTION("""COMPUTED_VALUE"""),50.0)</f>
        <v>50</v>
      </c>
      <c r="B17" s="4" t="str">
        <f>IFERROR(__xludf.DUMMYFUNCTION("""COMPUTED_VALUE"""),"TNI0309_1")</f>
        <v>TNI0309_1</v>
      </c>
      <c r="C17" s="4" t="str">
        <f>IFERROR(__xludf.DUMMYFUNCTION("""COMPUTED_VALUE"""),"TNI0309")</f>
        <v>TNI0309</v>
      </c>
      <c r="D17" s="8" t="str">
        <f>IFERROR(__xludf.DUMMYFUNCTION("""COMPUTED_VALUE"""),"MYT_TNI_TEAM01")</f>
        <v>MYT_TNI_TEAM01</v>
      </c>
      <c r="E17" s="4" t="str">
        <f>IFERROR(__xludf.DUMMYFUNCTION("""COMPUTED_VALUE"""),"DG+BB")</f>
        <v>DG+BB</v>
      </c>
      <c r="F17" s="4" t="str">
        <f>IFERROR(__xludf.DUMMYFUNCTION("""COMPUTED_VALUE"""),"Thayetchaung")</f>
        <v>Thayetchaung</v>
      </c>
      <c r="G17" s="4">
        <f>IFERROR(__xludf.DUMMYFUNCTION("""COMPUTED_VALUE"""),12.0)</f>
        <v>12</v>
      </c>
      <c r="H17" s="9">
        <f>IFERROR(__xludf.DUMMYFUNCTION("""COMPUTED_VALUE"""),13.4)</f>
        <v>13.4</v>
      </c>
      <c r="I17" s="4" t="str">
        <f>IFERROR(__xludf.DUMMYFUNCTION("""COMPUTED_VALUE"""),"Thar Htoo Aung")</f>
        <v>Thar Htoo Aung</v>
      </c>
      <c r="J17" s="4" t="str">
        <f>IFERROR(__xludf.DUMMYFUNCTION("""COMPUTED_VALUE"""),"Mytel")</f>
        <v>Mytel</v>
      </c>
      <c r="K17" s="10">
        <f>IFERROR(__xludf.DUMMYFUNCTION("""COMPUTED_VALUE"""),46232.0)</f>
        <v>46232</v>
      </c>
      <c r="L17" s="7">
        <f>IFERROR(__xludf.DUMMYFUNCTION("""COMPUTED_VALUE"""),221.0)</f>
        <v>221</v>
      </c>
      <c r="M17" s="7">
        <f>IFERROR(__xludf.DUMMYFUNCTION("""COMPUTED_VALUE"""),206.51859649122807)</f>
        <v>206.5185965</v>
      </c>
      <c r="N17" s="7">
        <f>IFERROR(__xludf.DUMMYFUNCTION("""COMPUTED_VALUE"""),143.0)</f>
        <v>143</v>
      </c>
      <c r="O17" s="7">
        <f>IFERROR(__xludf.DUMMYFUNCTION("""COMPUTED_VALUE"""),143.0)</f>
        <v>143</v>
      </c>
      <c r="P17" s="11">
        <f>IFERROR(__xludf.DUMMYFUNCTION("""COMPUTED_VALUE"""),440.0)</f>
        <v>440</v>
      </c>
      <c r="Q17" s="4" t="str">
        <f>IFERROR(__xludf.DUMMYFUNCTION("""COMPUTED_VALUE"""),"TNI0309")</f>
        <v>TNI0309</v>
      </c>
      <c r="R17" s="4" t="str">
        <f>IFERROR(__xludf.DUMMYFUNCTION("""COMPUTED_VALUE"""),"15.  /TNI0309_1 - /T1 Thayetchaung Thar Htoo Aung: Last R: /29/07/26 : /221L  Remain: /143 L = Need: /440L =&gt; 02/08/26 :KeyPhoto: /TNI0309_1RP1")</f>
        <v>15.  /TNI0309_1 - /T1 Thayetchaung Thar Htoo Aung: Last R: /29/07/26 : /221L  Remain: /143 L = Need: /440L =&gt; 02/08/26 :KeyPhoto: /TNI0309_1RP1</v>
      </c>
      <c r="Y17" s="3"/>
      <c r="Z17" s="3"/>
      <c r="AA17" s="3"/>
      <c r="AB17" s="3"/>
    </row>
    <row r="18">
      <c r="A18" s="4">
        <f>IFERROR(__xludf.DUMMYFUNCTION("""COMPUTED_VALUE"""),53.0)</f>
        <v>53</v>
      </c>
      <c r="B18" s="4" t="str">
        <f>IFERROR(__xludf.DUMMYFUNCTION("""COMPUTED_VALUE"""),"TNI0019_1")</f>
        <v>TNI0019_1</v>
      </c>
      <c r="C18" s="4" t="str">
        <f>IFERROR(__xludf.DUMMYFUNCTION("""COMPUTED_VALUE"""),"TNI0019")</f>
        <v>TNI0019</v>
      </c>
      <c r="D18" s="8" t="str">
        <f>IFERROR(__xludf.DUMMYFUNCTION("""COMPUTED_VALUE"""),"MYT_TNI_TEAM01")</f>
        <v>MYT_TNI_TEAM01</v>
      </c>
      <c r="E18" s="4" t="str">
        <f>IFERROR(__xludf.DUMMYFUNCTION("""COMPUTED_VALUE"""),"Grid+DG+BB")</f>
        <v>Grid+DG+BB</v>
      </c>
      <c r="F18" s="4" t="str">
        <f>IFERROR(__xludf.DUMMYFUNCTION("""COMPUTED_VALUE"""),"Thayetchaung")</f>
        <v>Thayetchaung</v>
      </c>
      <c r="G18" s="4">
        <f>IFERROR(__xludf.DUMMYFUNCTION("""COMPUTED_VALUE"""),8.0)</f>
        <v>8</v>
      </c>
      <c r="H18" s="9">
        <f>IFERROR(__xludf.DUMMYFUNCTION("""COMPUTED_VALUE"""),8.43)</f>
        <v>8.43</v>
      </c>
      <c r="I18" s="4" t="str">
        <f>IFERROR(__xludf.DUMMYFUNCTION("""COMPUTED_VALUE"""),"Aung Lwin Phyo")</f>
        <v>Aung Lwin Phyo</v>
      </c>
      <c r="J18" s="12" t="str">
        <f>IFERROR(__xludf.DUMMYFUNCTION("""COMPUTED_VALUE"""),"PAT")</f>
        <v>PAT</v>
      </c>
      <c r="K18" s="10">
        <f>IFERROR(__xludf.DUMMYFUNCTION("""COMPUTED_VALUE"""),46049.0)</f>
        <v>46049</v>
      </c>
      <c r="L18" s="7">
        <f>IFERROR(__xludf.DUMMYFUNCTION("""COMPUTED_VALUE"""),447.0)</f>
        <v>447</v>
      </c>
      <c r="M18" s="7">
        <f>IFERROR(__xludf.DUMMYFUNCTION("""COMPUTED_VALUE"""),151.42312499999997)</f>
        <v>151.423125</v>
      </c>
      <c r="N18" s="7">
        <f>IFERROR(__xludf.DUMMYFUNCTION("""COMPUTED_VALUE"""),0.0)</f>
        <v>0</v>
      </c>
      <c r="O18" s="7">
        <f>IFERROR(__xludf.DUMMYFUNCTION("""COMPUTED_VALUE"""),151.42312499999997)</f>
        <v>151.423125</v>
      </c>
      <c r="P18" s="11">
        <f>IFERROR(__xludf.DUMMYFUNCTION("""COMPUTED_VALUE"""),440.0)</f>
        <v>440</v>
      </c>
      <c r="Q18" s="4" t="str">
        <f>IFERROR(__xludf.DUMMYFUNCTION("""COMPUTED_VALUE"""),"-")</f>
        <v>-</v>
      </c>
      <c r="R18" s="4" t="str">
        <f>IFERROR(__xludf.DUMMYFUNCTION("""COMPUTED_VALUE"""),"16.  /TNI0019_1 - /T1 Thayetchaung Aung Lwin Phyo: Last R: /27/01/26 : /447L  Remain: /151.423125 L = Need: /440L =&gt; 02/08/26 :KeyPhoto: /TNI0019_1RP1")</f>
        <v>16.  /TNI0019_1 - /T1 Thayetchaung Aung Lwin Phyo: Last R: /27/01/26 : /447L  Remain: /151.423125 L = Need: /440L =&gt; 02/08/26 :KeyPhoto: /TNI0019_1RP1</v>
      </c>
      <c r="Y18" s="3"/>
      <c r="Z18" s="3"/>
      <c r="AA18" s="3"/>
      <c r="AB18" s="3"/>
    </row>
    <row r="19">
      <c r="A19" s="4">
        <f>IFERROR(__xludf.DUMMYFUNCTION("""COMPUTED_VALUE"""),49.0)</f>
        <v>49</v>
      </c>
      <c r="B19" s="4" t="str">
        <f>IFERROR(__xludf.DUMMYFUNCTION("""COMPUTED_VALUE"""),"TNI0214_1")</f>
        <v>TNI0214_1</v>
      </c>
      <c r="C19" s="4" t="str">
        <f>IFERROR(__xludf.DUMMYFUNCTION("""COMPUTED_VALUE"""),"TNI0214")</f>
        <v>TNI0214</v>
      </c>
      <c r="D19" s="8" t="str">
        <f>IFERROR(__xludf.DUMMYFUNCTION("""COMPUTED_VALUE"""),"MYT_TNI_TEAM01")</f>
        <v>MYT_TNI_TEAM01</v>
      </c>
      <c r="E19" s="4" t="str">
        <f>IFERROR(__xludf.DUMMYFUNCTION("""COMPUTED_VALUE"""),"DG+BB")</f>
        <v>DG+BB</v>
      </c>
      <c r="F19" s="4" t="str">
        <f>IFERROR(__xludf.DUMMYFUNCTION("""COMPUTED_VALUE"""),"Thayetchaung")</f>
        <v>Thayetchaung</v>
      </c>
      <c r="G19" s="4">
        <f>IFERROR(__xludf.DUMMYFUNCTION("""COMPUTED_VALUE"""),8.0)</f>
        <v>8</v>
      </c>
      <c r="H19" s="9">
        <f>IFERROR(__xludf.DUMMYFUNCTION("""COMPUTED_VALUE"""),8.43)</f>
        <v>8.43</v>
      </c>
      <c r="I19" s="4" t="str">
        <f>IFERROR(__xludf.DUMMYFUNCTION("""COMPUTED_VALUE"""),"Bhone Htet Aung")</f>
        <v>Bhone Htet Aung</v>
      </c>
      <c r="J19" s="4" t="str">
        <f>IFERROR(__xludf.DUMMYFUNCTION("""COMPUTED_VALUE"""),"Mytel")</f>
        <v>Mytel</v>
      </c>
      <c r="K19" s="10">
        <f>IFERROR(__xludf.DUMMYFUNCTION("""COMPUTED_VALUE"""),46114.0)</f>
        <v>46114</v>
      </c>
      <c r="L19" s="7">
        <f>IFERROR(__xludf.DUMMYFUNCTION("""COMPUTED_VALUE"""),618.0)</f>
        <v>618</v>
      </c>
      <c r="M19" s="7">
        <f>IFERROR(__xludf.DUMMYFUNCTION("""COMPUTED_VALUE"""),155.62)</f>
        <v>155.62</v>
      </c>
      <c r="N19" s="7">
        <f>IFERROR(__xludf.DUMMYFUNCTION("""COMPUTED_VALUE"""),0.0)</f>
        <v>0</v>
      </c>
      <c r="O19" s="7">
        <f>IFERROR(__xludf.DUMMYFUNCTION("""COMPUTED_VALUE"""),155.62)</f>
        <v>155.62</v>
      </c>
      <c r="P19" s="11">
        <f>IFERROR(__xludf.DUMMYFUNCTION("""COMPUTED_VALUE"""),440.0)</f>
        <v>440</v>
      </c>
      <c r="Q19" s="4" t="str">
        <f>IFERROR(__xludf.DUMMYFUNCTION("""COMPUTED_VALUE"""),"-")</f>
        <v>-</v>
      </c>
      <c r="R19" s="4" t="str">
        <f>IFERROR(__xludf.DUMMYFUNCTION("""COMPUTED_VALUE"""),"17.  /TNI0214_1 - /T1 Thayetchaung Bhone Htet Aung: Last R: /02/04/26 : /618L  Remain: /155.62 L = Need: /440L =&gt; 02/08/26 :KeyPhoto: /TNI0214_1RP1")</f>
        <v>17.  /TNI0214_1 - /T1 Thayetchaung Bhone Htet Aung: Last R: /02/04/26 : /618L  Remain: /155.62 L = Need: /440L =&gt; 02/08/26 :KeyPhoto: /TNI0214_1RP1</v>
      </c>
      <c r="Y19" s="3"/>
      <c r="Z19" s="3"/>
      <c r="AA19" s="3"/>
      <c r="AB19" s="3"/>
    </row>
    <row r="20">
      <c r="A20" s="4">
        <f>IFERROR(__xludf.DUMMYFUNCTION("""COMPUTED_VALUE"""),58.0)</f>
        <v>58</v>
      </c>
      <c r="B20" s="4" t="str">
        <f>IFERROR(__xludf.DUMMYFUNCTION("""COMPUTED_VALUE"""),"TNI0322_1")</f>
        <v>TNI0322_1</v>
      </c>
      <c r="C20" s="4" t="str">
        <f>IFERROR(__xludf.DUMMYFUNCTION("""COMPUTED_VALUE"""),"TNI0322")</f>
        <v>TNI0322</v>
      </c>
      <c r="D20" s="8" t="str">
        <f>IFERROR(__xludf.DUMMYFUNCTION("""COMPUTED_VALUE"""),"MYT_TNI_TEAM01")</f>
        <v>MYT_TNI_TEAM01</v>
      </c>
      <c r="E20" s="4" t="str">
        <f>IFERROR(__xludf.DUMMYFUNCTION("""COMPUTED_VALUE"""),"Grid+DG+BB")</f>
        <v>Grid+DG+BB</v>
      </c>
      <c r="F20" s="4" t="str">
        <f>IFERROR(__xludf.DUMMYFUNCTION("""COMPUTED_VALUE"""),"Thayetchaung")</f>
        <v>Thayetchaung</v>
      </c>
      <c r="G20" s="4">
        <f>IFERROR(__xludf.DUMMYFUNCTION("""COMPUTED_VALUE"""),8.0)</f>
        <v>8</v>
      </c>
      <c r="H20" s="9">
        <f>IFERROR(__xludf.DUMMYFUNCTION("""COMPUTED_VALUE"""),8.43)</f>
        <v>8.43</v>
      </c>
      <c r="I20" s="4" t="str">
        <f>IFERROR(__xludf.DUMMYFUNCTION("""COMPUTED_VALUE"""),"Aung Lwin Phyo")</f>
        <v>Aung Lwin Phyo</v>
      </c>
      <c r="J20" s="4" t="str">
        <f>IFERROR(__xludf.DUMMYFUNCTION("""COMPUTED_VALUE"""),"Mytel")</f>
        <v>Mytel</v>
      </c>
      <c r="K20" s="10">
        <f>IFERROR(__xludf.DUMMYFUNCTION("""COMPUTED_VALUE"""),46223.0)</f>
        <v>46223</v>
      </c>
      <c r="L20" s="7">
        <f>IFERROR(__xludf.DUMMYFUNCTION("""COMPUTED_VALUE"""),448.0)</f>
        <v>448</v>
      </c>
      <c r="M20" s="7">
        <f>IFERROR(__xludf.DUMMYFUNCTION("""COMPUTED_VALUE"""),178.38)</f>
        <v>178.38</v>
      </c>
      <c r="N20" s="7">
        <f>IFERROR(__xludf.DUMMYFUNCTION("""COMPUTED_VALUE"""),0.0)</f>
        <v>0</v>
      </c>
      <c r="O20" s="7">
        <f>IFERROR(__xludf.DUMMYFUNCTION("""COMPUTED_VALUE"""),178.38)</f>
        <v>178.38</v>
      </c>
      <c r="P20" s="11">
        <f>IFERROR(__xludf.DUMMYFUNCTION("""COMPUTED_VALUE"""),440.0)</f>
        <v>440</v>
      </c>
      <c r="Q20" s="4" t="str">
        <f>IFERROR(__xludf.DUMMYFUNCTION("""COMPUTED_VALUE"""),"TNI0322")</f>
        <v>TNI0322</v>
      </c>
      <c r="R20" s="4" t="str">
        <f>IFERROR(__xludf.DUMMYFUNCTION("""COMPUTED_VALUE"""),"18.  /TNI0322_1 - /T1 Thayetchaung Aung Lwin Phyo: Last R: /20/07/26 : /448L  Remain: /178.38 L = Need: /440L =&gt; 02/08/26 :KeyPhoto: /TNI0322_1RP1")</f>
        <v>18.  /TNI0322_1 - /T1 Thayetchaung Aung Lwin Phyo: Last R: /20/07/26 : /448L  Remain: /178.38 L = Need: /440L =&gt; 02/08/26 :KeyPhoto: /TNI0322_1RP1</v>
      </c>
      <c r="Y20" s="3"/>
      <c r="Z20" s="3"/>
      <c r="AA20" s="3"/>
      <c r="AB20" s="3"/>
    </row>
    <row r="21">
      <c r="A21" s="4">
        <f>IFERROR(__xludf.DUMMYFUNCTION("""COMPUTED_VALUE"""),55.0)</f>
        <v>55</v>
      </c>
      <c r="B21" s="4" t="str">
        <f>IFERROR(__xludf.DUMMYFUNCTION("""COMPUTED_VALUE"""),"TNI0046_1")</f>
        <v>TNI0046_1</v>
      </c>
      <c r="C21" s="4" t="str">
        <f>IFERROR(__xludf.DUMMYFUNCTION("""COMPUTED_VALUE"""),"TNI0046")</f>
        <v>TNI0046</v>
      </c>
      <c r="D21" s="8" t="str">
        <f>IFERROR(__xludf.DUMMYFUNCTION("""COMPUTED_VALUE"""),"MYT_TNI_TEAM01")</f>
        <v>MYT_TNI_TEAM01</v>
      </c>
      <c r="E21" s="4" t="str">
        <f>IFERROR(__xludf.DUMMYFUNCTION("""COMPUTED_VALUE"""),"Grid+DG+BB")</f>
        <v>Grid+DG+BB</v>
      </c>
      <c r="F21" s="4" t="str">
        <f>IFERROR(__xludf.DUMMYFUNCTION("""COMPUTED_VALUE"""),"Thayetchaung")</f>
        <v>Thayetchaung</v>
      </c>
      <c r="G21" s="4">
        <f>IFERROR(__xludf.DUMMYFUNCTION("""COMPUTED_VALUE"""),8.0)</f>
        <v>8</v>
      </c>
      <c r="H21" s="9">
        <f>IFERROR(__xludf.DUMMYFUNCTION("""COMPUTED_VALUE"""),8.43)</f>
        <v>8.43</v>
      </c>
      <c r="I21" s="4" t="str">
        <f>IFERROR(__xludf.DUMMYFUNCTION("""COMPUTED_VALUE"""),"Thar Htoo Aung")</f>
        <v>Thar Htoo Aung</v>
      </c>
      <c r="J21" s="4" t="str">
        <f>IFERROR(__xludf.DUMMYFUNCTION("""COMPUTED_VALUE"""),"Mytel")</f>
        <v>Mytel</v>
      </c>
      <c r="K21" s="10">
        <f>IFERROR(__xludf.DUMMYFUNCTION("""COMPUTED_VALUE"""),46012.0)</f>
        <v>46012</v>
      </c>
      <c r="L21" s="7">
        <f>IFERROR(__xludf.DUMMYFUNCTION("""COMPUTED_VALUE"""),186.61)</f>
        <v>186.61</v>
      </c>
      <c r="M21" s="7">
        <f>IFERROR(__xludf.DUMMYFUNCTION("""COMPUTED_VALUE"""),186.61)</f>
        <v>186.61</v>
      </c>
      <c r="N21" s="7">
        <f>IFERROR(__xludf.DUMMYFUNCTION("""COMPUTED_VALUE"""),0.0)</f>
        <v>0</v>
      </c>
      <c r="O21" s="7">
        <f>IFERROR(__xludf.DUMMYFUNCTION("""COMPUTED_VALUE"""),186.61)</f>
        <v>186.61</v>
      </c>
      <c r="P21" s="11">
        <f>IFERROR(__xludf.DUMMYFUNCTION("""COMPUTED_VALUE"""),440.0)</f>
        <v>440</v>
      </c>
      <c r="Q21" s="4" t="str">
        <f>IFERROR(__xludf.DUMMYFUNCTION("""COMPUTED_VALUE"""),"-")</f>
        <v>-</v>
      </c>
      <c r="R21" s="4" t="str">
        <f>IFERROR(__xludf.DUMMYFUNCTION("""COMPUTED_VALUE"""),"19.  /TNI0046_1 - /T1 Thayetchaung Thar Htoo Aung: Last R: /21/12/25 : /186.61L  Remain: /186.61 L = Need: /440L =&gt; 02/08/26 :KeyPhoto: /TNI0046_1RP1")</f>
        <v>19.  /TNI0046_1 - /T1 Thayetchaung Thar Htoo Aung: Last R: /21/12/25 : /186.61L  Remain: /186.61 L = Need: /440L =&gt; 02/08/26 :KeyPhoto: /TNI0046_1RP1</v>
      </c>
      <c r="Y21" s="3"/>
      <c r="Z21" s="3"/>
      <c r="AA21" s="3"/>
      <c r="AB21" s="3"/>
    </row>
    <row r="22">
      <c r="A22" s="4">
        <f>IFERROR(__xludf.DUMMYFUNCTION("""COMPUTED_VALUE"""),69.0)</f>
        <v>69</v>
      </c>
      <c r="B22" s="4" t="str">
        <f>IFERROR(__xludf.DUMMYFUNCTION("""COMPUTED_VALUE"""),"TNI0220_1")</f>
        <v>TNI0220_1</v>
      </c>
      <c r="C22" s="4" t="str">
        <f>IFERROR(__xludf.DUMMYFUNCTION("""COMPUTED_VALUE"""),"TNI0220")</f>
        <v>TNI0220</v>
      </c>
      <c r="D22" s="8" t="str">
        <f>IFERROR(__xludf.DUMMYFUNCTION("""COMPUTED_VALUE"""),"MYT_TNI_TEAM01")</f>
        <v>MYT_TNI_TEAM01</v>
      </c>
      <c r="E22" s="4" t="str">
        <f>IFERROR(__xludf.DUMMYFUNCTION("""COMPUTED_VALUE"""),"Grid+DG+BB")</f>
        <v>Grid+DG+BB</v>
      </c>
      <c r="F22" s="4" t="str">
        <f>IFERROR(__xludf.DUMMYFUNCTION("""COMPUTED_VALUE"""),"Yebyu")</f>
        <v>Yebyu</v>
      </c>
      <c r="G22" s="4">
        <f>IFERROR(__xludf.DUMMYFUNCTION("""COMPUTED_VALUE"""),12.0)</f>
        <v>12</v>
      </c>
      <c r="H22" s="9">
        <f>IFERROR(__xludf.DUMMYFUNCTION("""COMPUTED_VALUE"""),13.4)</f>
        <v>13.4</v>
      </c>
      <c r="I22" s="4" t="str">
        <f>IFERROR(__xludf.DUMMYFUNCTION("""COMPUTED_VALUE"""),"Thu Rain Naing")</f>
        <v>Thu Rain Naing</v>
      </c>
      <c r="J22" s="12" t="str">
        <f>IFERROR(__xludf.DUMMYFUNCTION("""COMPUTED_VALUE"""),"MEC.PNC")</f>
        <v>MEC.PNC</v>
      </c>
      <c r="K22" s="10">
        <f>IFERROR(__xludf.DUMMYFUNCTION("""COMPUTED_VALUE"""),46012.0)</f>
        <v>46012</v>
      </c>
      <c r="L22" s="7">
        <f>IFERROR(__xludf.DUMMYFUNCTION("""COMPUTED_VALUE"""),0.0)</f>
        <v>0</v>
      </c>
      <c r="M22" s="7">
        <f>IFERROR(__xludf.DUMMYFUNCTION("""COMPUTED_VALUE"""),0.0)</f>
        <v>0</v>
      </c>
      <c r="N22" s="7">
        <f>IFERROR(__xludf.DUMMYFUNCTION("""COMPUTED_VALUE"""),327.0)</f>
        <v>327</v>
      </c>
      <c r="O22" s="7">
        <f>IFERROR(__xludf.DUMMYFUNCTION("""COMPUTED_VALUE"""),0.0)</f>
        <v>0</v>
      </c>
      <c r="P22" s="11">
        <f>IFERROR(__xludf.DUMMYFUNCTION("""COMPUTED_VALUE"""),440.0)</f>
        <v>440</v>
      </c>
      <c r="Q22" s="4" t="str">
        <f>IFERROR(__xludf.DUMMYFUNCTION("""COMPUTED_VALUE"""),"-")</f>
        <v>-</v>
      </c>
      <c r="R22" s="4" t="str">
        <f>IFERROR(__xludf.DUMMYFUNCTION("""COMPUTED_VALUE"""),"20.  /TNI0220_1 - /T1 Yebyu Thu Rain Naing: Last R: /21/12/25 : /0L  Remain: /0 L = Need: /440L =&gt; 02/08/26 :KeyPhoto: /TNI0220_1RP1")</f>
        <v>20.  /TNI0220_1 - /T1 Yebyu Thu Rain Naing: Last R: /21/12/25 : /0L  Remain: /0 L = Need: /440L =&gt; 02/08/26 :KeyPhoto: /TNI0220_1RP1</v>
      </c>
      <c r="Y22" s="3"/>
      <c r="Z22" s="3"/>
      <c r="AA22" s="3"/>
      <c r="AB22" s="3"/>
    </row>
    <row r="23">
      <c r="A23" s="4">
        <f>IFERROR(__xludf.DUMMYFUNCTION("""COMPUTED_VALUE"""),70.0)</f>
        <v>70</v>
      </c>
      <c r="B23" s="4" t="str">
        <f>IFERROR(__xludf.DUMMYFUNCTION("""COMPUTED_VALUE"""),"TNI0129_1")</f>
        <v>TNI0129_1</v>
      </c>
      <c r="C23" s="4" t="str">
        <f>IFERROR(__xludf.DUMMYFUNCTION("""COMPUTED_VALUE"""),"TNI0129")</f>
        <v>TNI0129</v>
      </c>
      <c r="D23" s="8" t="str">
        <f>IFERROR(__xludf.DUMMYFUNCTION("""COMPUTED_VALUE"""),"MYT_TNI_TEAM01")</f>
        <v>MYT_TNI_TEAM01</v>
      </c>
      <c r="E23" s="4" t="str">
        <f>IFERROR(__xludf.DUMMYFUNCTION("""COMPUTED_VALUE"""),"Solar+DG+BB")</f>
        <v>Solar+DG+BB</v>
      </c>
      <c r="F23" s="4" t="str">
        <f>IFERROR(__xludf.DUMMYFUNCTION("""COMPUTED_VALUE"""),"Yebyu")</f>
        <v>Yebyu</v>
      </c>
      <c r="G23" s="4">
        <f>IFERROR(__xludf.DUMMYFUNCTION("""COMPUTED_VALUE"""),8.0)</f>
        <v>8</v>
      </c>
      <c r="H23" s="9">
        <f>IFERROR(__xludf.DUMMYFUNCTION("""COMPUTED_VALUE"""),8.43)</f>
        <v>8.43</v>
      </c>
      <c r="I23" s="4" t="str">
        <f>IFERROR(__xludf.DUMMYFUNCTION("""COMPUTED_VALUE"""),"Thu Rain Naing")</f>
        <v>Thu Rain Naing</v>
      </c>
      <c r="J23" s="12" t="str">
        <f>IFERROR(__xludf.DUMMYFUNCTION("""COMPUTED_VALUE"""),"MEC")</f>
        <v>MEC</v>
      </c>
      <c r="K23" s="10">
        <f>IFERROR(__xludf.DUMMYFUNCTION("""COMPUTED_VALUE"""),46234.0)</f>
        <v>46234</v>
      </c>
      <c r="L23" s="7">
        <f>IFERROR(__xludf.DUMMYFUNCTION("""COMPUTED_VALUE"""),59.0)</f>
        <v>59</v>
      </c>
      <c r="M23" s="7">
        <f>IFERROR(__xludf.DUMMYFUNCTION("""COMPUTED_VALUE"""),36.92)</f>
        <v>36.92</v>
      </c>
      <c r="N23" s="7">
        <f>IFERROR(__xludf.DUMMYFUNCTION("""COMPUTED_VALUE"""),0.0)</f>
        <v>0</v>
      </c>
      <c r="O23" s="7">
        <f>IFERROR(__xludf.DUMMYFUNCTION("""COMPUTED_VALUE"""),0.0)</f>
        <v>0</v>
      </c>
      <c r="P23" s="11">
        <f>IFERROR(__xludf.DUMMYFUNCTION("""COMPUTED_VALUE"""),440.0)</f>
        <v>440</v>
      </c>
      <c r="Q23" s="4" t="str">
        <f>IFERROR(__xludf.DUMMYFUNCTION("""COMPUTED_VALUE"""),"-")</f>
        <v>-</v>
      </c>
      <c r="R23" s="4" t="str">
        <f>IFERROR(__xludf.DUMMYFUNCTION("""COMPUTED_VALUE"""),"21.  /TNI0129_1 - /T1 Yebyu Thu Rain Naing: Last R: /31/07/26 : /59L  Remain: /0 L = Need: /440L =&gt; 02/08/26 :KeyPhoto: /TNI0129_1RP1")</f>
        <v>21.  /TNI0129_1 - /T1 Yebyu Thu Rain Naing: Last R: /31/07/26 : /59L  Remain: /0 L = Need: /440L =&gt; 02/08/26 :KeyPhoto: /TNI0129_1RP1</v>
      </c>
      <c r="Y23" s="3"/>
      <c r="Z23" s="3"/>
      <c r="AA23" s="3"/>
      <c r="AB23" s="3"/>
    </row>
    <row r="24">
      <c r="A24" s="4">
        <f>IFERROR(__xludf.DUMMYFUNCTION("""COMPUTED_VALUE"""),73.0)</f>
        <v>73</v>
      </c>
      <c r="B24" s="4" t="str">
        <f>IFERROR(__xludf.DUMMYFUNCTION("""COMPUTED_VALUE"""),"TNI0006_1")</f>
        <v>TNI0006_1</v>
      </c>
      <c r="C24" s="4" t="str">
        <f>IFERROR(__xludf.DUMMYFUNCTION("""COMPUTED_VALUE"""),"TNI0006")</f>
        <v>TNI0006</v>
      </c>
      <c r="D24" s="8" t="str">
        <f>IFERROR(__xludf.DUMMYFUNCTION("""COMPUTED_VALUE"""),"MYT_TNI_TEAM01")</f>
        <v>MYT_TNI_TEAM01</v>
      </c>
      <c r="E24" s="4" t="str">
        <f>IFERROR(__xludf.DUMMYFUNCTION("""COMPUTED_VALUE"""),"Solar+Grid+DG+BB")</f>
        <v>Solar+Grid+DG+BB</v>
      </c>
      <c r="F24" s="4" t="str">
        <f>IFERROR(__xludf.DUMMYFUNCTION("""COMPUTED_VALUE"""),"Yebyu")</f>
        <v>Yebyu</v>
      </c>
      <c r="G24" s="4">
        <f>IFERROR(__xludf.DUMMYFUNCTION("""COMPUTED_VALUE"""),30.0)</f>
        <v>30</v>
      </c>
      <c r="H24" s="9">
        <f>IFERROR(__xludf.DUMMYFUNCTION("""COMPUTED_VALUE"""),17.57)</f>
        <v>17.57</v>
      </c>
      <c r="I24" s="4" t="str">
        <f>IFERROR(__xludf.DUMMYFUNCTION("""COMPUTED_VALUE"""),"Thu Rain Naing")</f>
        <v>Thu Rain Naing</v>
      </c>
      <c r="J24" s="4" t="str">
        <f>IFERROR(__xludf.DUMMYFUNCTION("""COMPUTED_VALUE"""),"Mytel")</f>
        <v>Mytel</v>
      </c>
      <c r="K24" s="10">
        <f>IFERROR(__xludf.DUMMYFUNCTION("""COMPUTED_VALUE"""),46228.0)</f>
        <v>46228</v>
      </c>
      <c r="L24" s="7">
        <f>IFERROR(__xludf.DUMMYFUNCTION("""COMPUTED_VALUE"""),177.0)</f>
        <v>177</v>
      </c>
      <c r="M24" s="7">
        <f>IFERROR(__xludf.DUMMYFUNCTION("""COMPUTED_VALUE"""),162.68)</f>
        <v>162.68</v>
      </c>
      <c r="N24" s="7">
        <f>IFERROR(__xludf.DUMMYFUNCTION("""COMPUTED_VALUE"""),0.0)</f>
        <v>0</v>
      </c>
      <c r="O24" s="7">
        <f>IFERROR(__xludf.DUMMYFUNCTION("""COMPUTED_VALUE"""),162.68)</f>
        <v>162.68</v>
      </c>
      <c r="P24" s="11">
        <f>IFERROR(__xludf.DUMMYFUNCTION("""COMPUTED_VALUE"""),440.0)</f>
        <v>440</v>
      </c>
      <c r="Q24" s="4" t="str">
        <f>IFERROR(__xludf.DUMMYFUNCTION("""COMPUTED_VALUE"""),"-")</f>
        <v>-</v>
      </c>
      <c r="R24" s="4" t="str">
        <f>IFERROR(__xludf.DUMMYFUNCTION("""COMPUTED_VALUE"""),"22.  /TNI0006_1 - /T1 Yebyu Thu Rain Naing: Last R: /25/07/26 : /177L  Remain: /162.68 L = Need: /440L =&gt; 02/08/26 :KeyPhoto: /TNI0006_1RP1")</f>
        <v>22.  /TNI0006_1 - /T1 Yebyu Thu Rain Naing: Last R: /25/07/26 : /177L  Remain: /162.68 L = Need: /440L =&gt; 02/08/26 :KeyPhoto: /TNI0006_1RP1</v>
      </c>
      <c r="Y24" s="3"/>
      <c r="Z24" s="3"/>
      <c r="AA24" s="3"/>
      <c r="AB24" s="3"/>
    </row>
    <row r="25">
      <c r="A25" s="4">
        <f>IFERROR(__xludf.DUMMYFUNCTION("""COMPUTED_VALUE"""),68.0)</f>
        <v>68</v>
      </c>
      <c r="B25" s="4" t="str">
        <f>IFERROR(__xludf.DUMMYFUNCTION("""COMPUTED_VALUE"""),"TNI0213_1")</f>
        <v>TNI0213_1</v>
      </c>
      <c r="C25" s="4" t="str">
        <f>IFERROR(__xludf.DUMMYFUNCTION("""COMPUTED_VALUE"""),"TNI0213")</f>
        <v>TNI0213</v>
      </c>
      <c r="D25" s="8" t="str">
        <f>IFERROR(__xludf.DUMMYFUNCTION("""COMPUTED_VALUE"""),"MYT_TNI_TEAM01")</f>
        <v>MYT_TNI_TEAM01</v>
      </c>
      <c r="E25" s="4" t="str">
        <f>IFERROR(__xludf.DUMMYFUNCTION("""COMPUTED_VALUE"""),"DG+BB")</f>
        <v>DG+BB</v>
      </c>
      <c r="F25" s="4" t="str">
        <f>IFERROR(__xludf.DUMMYFUNCTION("""COMPUTED_VALUE"""),"Yebyu")</f>
        <v>Yebyu</v>
      </c>
      <c r="G25" s="4" t="str">
        <f>IFERROR(__xludf.DUMMYFUNCTION("""COMPUTED_VALUE"""),"12D")</f>
        <v>12D</v>
      </c>
      <c r="H25" s="9">
        <f>IFERROR(__xludf.DUMMYFUNCTION("""COMPUTED_VALUE"""),15.14)</f>
        <v>15.14</v>
      </c>
      <c r="I25" s="4" t="str">
        <f>IFERROR(__xludf.DUMMYFUNCTION("""COMPUTED_VALUE"""),"Thu Rain Naing")</f>
        <v>Thu Rain Naing</v>
      </c>
      <c r="J25" s="4" t="str">
        <f>IFERROR(__xludf.DUMMYFUNCTION("""COMPUTED_VALUE"""),"Mytel")</f>
        <v>Mytel</v>
      </c>
      <c r="K25" s="10">
        <f>IFERROR(__xludf.DUMMYFUNCTION("""COMPUTED_VALUE"""),46232.0)</f>
        <v>46232</v>
      </c>
      <c r="L25" s="7">
        <f>IFERROR(__xludf.DUMMYFUNCTION("""COMPUTED_VALUE"""),265.0)</f>
        <v>265</v>
      </c>
      <c r="M25" s="7">
        <f>IFERROR(__xludf.DUMMYFUNCTION("""COMPUTED_VALUE"""),118.64666666666668)</f>
        <v>118.6466667</v>
      </c>
      <c r="N25" s="7">
        <f>IFERROR(__xludf.DUMMYFUNCTION("""COMPUTED_VALUE"""),171.0)</f>
        <v>171</v>
      </c>
      <c r="O25" s="7">
        <f>IFERROR(__xludf.DUMMYFUNCTION("""COMPUTED_VALUE"""),171.0)</f>
        <v>171</v>
      </c>
      <c r="P25" s="11">
        <f>IFERROR(__xludf.DUMMYFUNCTION("""COMPUTED_VALUE"""),440.0)</f>
        <v>440</v>
      </c>
      <c r="Q25" s="4" t="str">
        <f>IFERROR(__xludf.DUMMYFUNCTION("""COMPUTED_VALUE"""),"-")</f>
        <v>-</v>
      </c>
      <c r="R25" s="4" t="str">
        <f>IFERROR(__xludf.DUMMYFUNCTION("""COMPUTED_VALUE"""),"23.  /TNI0213_1 - /T1 Yebyu Thu Rain Naing: Last R: /29/07/26 : /265L  Remain: /171 L = Need: /440L =&gt; 02/08/26 :KeyPhoto: /TNI0213_1RP1")</f>
        <v>23.  /TNI0213_1 - /T1 Yebyu Thu Rain Naing: Last R: /29/07/26 : /265L  Remain: /171 L = Need: /440L =&gt; 02/08/26 :KeyPhoto: /TNI0213_1RP1</v>
      </c>
      <c r="Y25" s="3"/>
      <c r="Z25" s="3"/>
      <c r="AA25" s="3"/>
      <c r="AB25" s="3"/>
    </row>
    <row r="26">
      <c r="A26" s="4">
        <f>IFERROR(__xludf.DUMMYFUNCTION("""COMPUTED_VALUE"""),81.0)</f>
        <v>81</v>
      </c>
      <c r="B26" s="4" t="str">
        <f>IFERROR(__xludf.DUMMYFUNCTION("""COMPUTED_VALUE"""),"TNI0386_1")</f>
        <v>TNI0386_1</v>
      </c>
      <c r="C26" s="4" t="str">
        <f>IFERROR(__xludf.DUMMYFUNCTION("""COMPUTED_VALUE"""),"TNI0386")</f>
        <v>TNI0386</v>
      </c>
      <c r="D26" s="8" t="str">
        <f>IFERROR(__xludf.DUMMYFUNCTION("""COMPUTED_VALUE"""),"MYT_TNI_TEAM02")</f>
        <v>MYT_TNI_TEAM02</v>
      </c>
      <c r="E26" s="4" t="str">
        <f>IFERROR(__xludf.DUMMYFUNCTION("""COMPUTED_VALUE"""),"DG+BB")</f>
        <v>DG+BB</v>
      </c>
      <c r="F26" s="4" t="str">
        <f>IFERROR(__xludf.DUMMYFUNCTION("""COMPUTED_VALUE"""),"Kyunsu")</f>
        <v>Kyunsu</v>
      </c>
      <c r="G26" s="4" t="str">
        <f>IFERROR(__xludf.DUMMYFUNCTION("""COMPUTED_VALUE"""),"14.TIP")</f>
        <v>14.TIP</v>
      </c>
      <c r="H26" s="9">
        <f>IFERROR(__xludf.DUMMYFUNCTION("""COMPUTED_VALUE"""),16.2)</f>
        <v>16.2</v>
      </c>
      <c r="I26" s="4" t="str">
        <f>IFERROR(__xludf.DUMMYFUNCTION("""COMPUTED_VALUE"""),"Ye Lin")</f>
        <v>Ye Lin</v>
      </c>
      <c r="J26" s="12" t="str">
        <f>IFERROR(__xludf.DUMMYFUNCTION("""COMPUTED_VALUE"""),"TIP")</f>
        <v>TIP</v>
      </c>
      <c r="K26" s="10">
        <f>IFERROR(__xludf.DUMMYFUNCTION("""COMPUTED_VALUE"""),46233.0)</f>
        <v>46233</v>
      </c>
      <c r="L26" s="7">
        <f>IFERROR(__xludf.DUMMYFUNCTION("""COMPUTED_VALUE"""),65.0)</f>
        <v>65</v>
      </c>
      <c r="M26" s="7">
        <f>IFERROR(__xludf.DUMMYFUNCTION("""COMPUTED_VALUE"""),0.0)</f>
        <v>0</v>
      </c>
      <c r="N26" s="7">
        <f>IFERROR(__xludf.DUMMYFUNCTION("""COMPUTED_VALUE"""),0.0)</f>
        <v>0</v>
      </c>
      <c r="O26" s="7">
        <f>IFERROR(__xludf.DUMMYFUNCTION("""COMPUTED_VALUE"""),0.0)</f>
        <v>0</v>
      </c>
      <c r="P26" s="11">
        <f>IFERROR(__xludf.DUMMYFUNCTION("""COMPUTED_VALUE"""),440.0)</f>
        <v>440</v>
      </c>
      <c r="Q26" s="4" t="str">
        <f>IFERROR(__xludf.DUMMYFUNCTION("""COMPUTED_VALUE"""),"-")</f>
        <v>-</v>
      </c>
      <c r="R26" s="4" t="str">
        <f>IFERROR(__xludf.DUMMYFUNCTION("""COMPUTED_VALUE"""),"1.  /TNI0386_1 - /T2 Kyunsu Ye Lin: Last R: /30/07/26 : /65L  Remain: /0 L = Need: /440L =&gt; 02/08/26 :KeyPhoto: /TNI0386_1RP1")</f>
        <v>1.  /TNI0386_1 - /T2 Kyunsu Ye Lin: Last R: /30/07/26 : /65L  Remain: /0 L = Need: /440L =&gt; 02/08/26 :KeyPhoto: /TNI0386_1RP1</v>
      </c>
      <c r="Y26" s="3"/>
      <c r="Z26" s="3"/>
      <c r="AA26" s="3"/>
      <c r="AB26" s="3"/>
    </row>
    <row r="27">
      <c r="A27" s="4">
        <f>IFERROR(__xludf.DUMMYFUNCTION("""COMPUTED_VALUE"""),80.0)</f>
        <v>80</v>
      </c>
      <c r="B27" s="4" t="str">
        <f>IFERROR(__xludf.DUMMYFUNCTION("""COMPUTED_VALUE"""),"TNI0385_1")</f>
        <v>TNI0385_1</v>
      </c>
      <c r="C27" s="4" t="str">
        <f>IFERROR(__xludf.DUMMYFUNCTION("""COMPUTED_VALUE"""),"TNI0385")</f>
        <v>TNI0385</v>
      </c>
      <c r="D27" s="8" t="str">
        <f>IFERROR(__xludf.DUMMYFUNCTION("""COMPUTED_VALUE"""),"MYT_TNI_TEAM02")</f>
        <v>MYT_TNI_TEAM02</v>
      </c>
      <c r="E27" s="4" t="str">
        <f>IFERROR(__xludf.DUMMYFUNCTION("""COMPUTED_VALUE"""),"DG+BB")</f>
        <v>DG+BB</v>
      </c>
      <c r="F27" s="4" t="str">
        <f>IFERROR(__xludf.DUMMYFUNCTION("""COMPUTED_VALUE"""),"Kyunsu")</f>
        <v>Kyunsu</v>
      </c>
      <c r="G27" s="4" t="str">
        <f>IFERROR(__xludf.DUMMYFUNCTION("""COMPUTED_VALUE"""),"14.TIP")</f>
        <v>14.TIP</v>
      </c>
      <c r="H27" s="9">
        <f>IFERROR(__xludf.DUMMYFUNCTION("""COMPUTED_VALUE"""),16.2)</f>
        <v>16.2</v>
      </c>
      <c r="I27" s="4" t="str">
        <f>IFERROR(__xludf.DUMMYFUNCTION("""COMPUTED_VALUE"""),"Ye Lin")</f>
        <v>Ye Lin</v>
      </c>
      <c r="J27" s="12" t="str">
        <f>IFERROR(__xludf.DUMMYFUNCTION("""COMPUTED_VALUE"""),"TIP")</f>
        <v>TIP</v>
      </c>
      <c r="K27" s="10">
        <f>IFERROR(__xludf.DUMMYFUNCTION("""COMPUTED_VALUE"""),46225.0)</f>
        <v>46225</v>
      </c>
      <c r="L27" s="7">
        <f>IFERROR(__xludf.DUMMYFUNCTION("""COMPUTED_VALUE"""),486.0)</f>
        <v>486</v>
      </c>
      <c r="M27" s="7">
        <f>IFERROR(__xludf.DUMMYFUNCTION("""COMPUTED_VALUE"""),85.05000000000007)</f>
        <v>85.05</v>
      </c>
      <c r="N27" s="7">
        <f>IFERROR(__xludf.DUMMYFUNCTION("""COMPUTED_VALUE"""),0.0)</f>
        <v>0</v>
      </c>
      <c r="O27" s="7">
        <f>IFERROR(__xludf.DUMMYFUNCTION("""COMPUTED_VALUE"""),85.05000000000007)</f>
        <v>85.05</v>
      </c>
      <c r="P27" s="11">
        <f>IFERROR(__xludf.DUMMYFUNCTION("""COMPUTED_VALUE"""),440.0)</f>
        <v>440</v>
      </c>
      <c r="Q27" s="4" t="str">
        <f>IFERROR(__xludf.DUMMYFUNCTION("""COMPUTED_VALUE"""),"-")</f>
        <v>-</v>
      </c>
      <c r="R27" s="4" t="str">
        <f>IFERROR(__xludf.DUMMYFUNCTION("""COMPUTED_VALUE"""),"2.  /TNI0385_1 - /T2 Kyunsu Ye Lin: Last R: /22/07/26 : /486L  Remain: /85.0500000000001 L = Need: /440L =&gt; 02/08/26 :KeyPhoto: /TNI0385_1RP1")</f>
        <v>2.  /TNI0385_1 - /T2 Kyunsu Ye Lin: Last R: /22/07/26 : /486L  Remain: /85.0500000000001 L = Need: /440L =&gt; 02/08/26 :KeyPhoto: /TNI0385_1RP1</v>
      </c>
      <c r="Y27" s="3"/>
      <c r="Z27" s="3"/>
      <c r="AA27" s="3"/>
      <c r="AB27" s="3"/>
    </row>
    <row r="28">
      <c r="A28" s="4">
        <f>IFERROR(__xludf.DUMMYFUNCTION("""COMPUTED_VALUE"""),85.0)</f>
        <v>85</v>
      </c>
      <c r="B28" s="4" t="str">
        <f>IFERROR(__xludf.DUMMYFUNCTION("""COMPUTED_VALUE"""),"TNI0519_1")</f>
        <v>TNI0519_1</v>
      </c>
      <c r="C28" s="4" t="str">
        <f>IFERROR(__xludf.DUMMYFUNCTION("""COMPUTED_VALUE"""),"TNI0519")</f>
        <v>TNI0519</v>
      </c>
      <c r="D28" s="34" t="str">
        <f>IFERROR(__xludf.DUMMYFUNCTION("""COMPUTED_VALUE"""),"MYT_TNI_TEAM02")</f>
        <v>MYT_TNI_TEAM02</v>
      </c>
      <c r="E28" s="4" t="str">
        <f>IFERROR(__xludf.DUMMYFUNCTION("""COMPUTED_VALUE"""),"DG+BB")</f>
        <v>DG+BB</v>
      </c>
      <c r="F28" s="4" t="str">
        <f>IFERROR(__xludf.DUMMYFUNCTION("""COMPUTED_VALUE"""),"Myeik")</f>
        <v>Myeik</v>
      </c>
      <c r="G28" s="4" t="str">
        <f>IFERROR(__xludf.DUMMYFUNCTION("""COMPUTED_VALUE"""),"12D")</f>
        <v>12D</v>
      </c>
      <c r="H28" s="9">
        <f>IFERROR(__xludf.DUMMYFUNCTION("""COMPUTED_VALUE"""),15.14)</f>
        <v>15.14</v>
      </c>
      <c r="I28" s="34" t="str">
        <f>IFERROR(__xludf.DUMMYFUNCTION("""COMPUTED_VALUE"""),"Win Htet Aung")</f>
        <v>Win Htet Aung</v>
      </c>
      <c r="J28" s="4" t="str">
        <f>IFERROR(__xludf.DUMMYFUNCTION("""COMPUTED_VALUE"""),"Mytel")</f>
        <v>Mytel</v>
      </c>
      <c r="K28" s="10">
        <f>IFERROR(__xludf.DUMMYFUNCTION("""COMPUTED_VALUE"""),46220.0)</f>
        <v>46220</v>
      </c>
      <c r="L28" s="7">
        <f>IFERROR(__xludf.DUMMYFUNCTION("""COMPUTED_VALUE"""),916.0)</f>
        <v>916</v>
      </c>
      <c r="M28" s="7">
        <f>IFERROR(__xludf.DUMMYFUNCTION("""COMPUTED_VALUE"""),745.76)</f>
        <v>745.76</v>
      </c>
      <c r="N28" s="7">
        <f>IFERROR(__xludf.DUMMYFUNCTION("""COMPUTED_VALUE"""),0.0)</f>
        <v>0</v>
      </c>
      <c r="O28" s="7">
        <f>IFERROR(__xludf.DUMMYFUNCTION("""COMPUTED_VALUE"""),0.0)</f>
        <v>0</v>
      </c>
      <c r="P28" s="11">
        <f>IFERROR(__xludf.DUMMYFUNCTION("""COMPUTED_VALUE"""),440.0)</f>
        <v>440</v>
      </c>
      <c r="Q28" s="4" t="str">
        <f>IFERROR(__xludf.DUMMYFUNCTION("""COMPUTED_VALUE"""),"-")</f>
        <v>-</v>
      </c>
      <c r="R28" s="4" t="str">
        <f>IFERROR(__xludf.DUMMYFUNCTION("""COMPUTED_VALUE"""),"3.  /TNI0519_1 - /T2 Myeik Win Htet Aung: Last R: /17/07/26 : /916L  Remain: /0 L = Need: /440L =&gt; 02/08/26 :KeyPhoto: /TNI0519_1RP1")</f>
        <v>3.  /TNI0519_1 - /T2 Myeik Win Htet Aung: Last R: /17/07/26 : /916L  Remain: /0 L = Need: /440L =&gt; 02/08/26 :KeyPhoto: /TNI0519_1RP1</v>
      </c>
      <c r="Y28" s="3"/>
      <c r="Z28" s="3"/>
      <c r="AA28" s="3"/>
      <c r="AB28" s="3"/>
    </row>
    <row r="29">
      <c r="A29" s="4">
        <f>IFERROR(__xludf.DUMMYFUNCTION("""COMPUTED_VALUE"""),103.0)</f>
        <v>103</v>
      </c>
      <c r="B29" s="4" t="str">
        <f>IFERROR(__xludf.DUMMYFUNCTION("""COMPUTED_VALUE"""),"TNI0001_1")</f>
        <v>TNI0001_1</v>
      </c>
      <c r="C29" s="4" t="str">
        <f>IFERROR(__xludf.DUMMYFUNCTION("""COMPUTED_VALUE"""),"TNI0001")</f>
        <v>TNI0001</v>
      </c>
      <c r="D29" s="8" t="str">
        <f>IFERROR(__xludf.DUMMYFUNCTION("""COMPUTED_VALUE"""),"MYT_TNI_TEAM02")</f>
        <v>MYT_TNI_TEAM02</v>
      </c>
      <c r="E29" s="4" t="str">
        <f>IFERROR(__xludf.DUMMYFUNCTION("""COMPUTED_VALUE"""),"Solar+Grid+DG+BB")</f>
        <v>Solar+Grid+DG+BB</v>
      </c>
      <c r="F29" s="4" t="str">
        <f>IFERROR(__xludf.DUMMYFUNCTION("""COMPUTED_VALUE"""),"Myeik")</f>
        <v>Myeik</v>
      </c>
      <c r="G29" s="4">
        <f>IFERROR(__xludf.DUMMYFUNCTION("""COMPUTED_VALUE"""),30.0)</f>
        <v>30</v>
      </c>
      <c r="H29" s="9">
        <f>IFERROR(__xludf.DUMMYFUNCTION("""COMPUTED_VALUE"""),17.57)</f>
        <v>17.57</v>
      </c>
      <c r="I29" s="4" t="str">
        <f>IFERROR(__xludf.DUMMYFUNCTION("""COMPUTED_VALUE"""),"Pyi Kyaw Aung")</f>
        <v>Pyi Kyaw Aung</v>
      </c>
      <c r="J29" s="4" t="str">
        <f>IFERROR(__xludf.DUMMYFUNCTION("""COMPUTED_VALUE"""),"Mytel")</f>
        <v>Mytel</v>
      </c>
      <c r="K29" s="10">
        <f>IFERROR(__xludf.DUMMYFUNCTION("""COMPUTED_VALUE"""),46102.0)</f>
        <v>46102</v>
      </c>
      <c r="L29" s="7">
        <f>IFERROR(__xludf.DUMMYFUNCTION("""COMPUTED_VALUE"""),536.0)</f>
        <v>536</v>
      </c>
      <c r="M29" s="7">
        <f>IFERROR(__xludf.DUMMYFUNCTION("""COMPUTED_VALUE"""),143.60333333333335)</f>
        <v>143.6033333</v>
      </c>
      <c r="N29" s="7">
        <f>IFERROR(__xludf.DUMMYFUNCTION("""COMPUTED_VALUE"""),0.0)</f>
        <v>0</v>
      </c>
      <c r="O29" s="7">
        <f>IFERROR(__xludf.DUMMYFUNCTION("""COMPUTED_VALUE"""),0.0)</f>
        <v>0</v>
      </c>
      <c r="P29" s="11">
        <f>IFERROR(__xludf.DUMMYFUNCTION("""COMPUTED_VALUE"""),440.0)</f>
        <v>440</v>
      </c>
      <c r="Q29" s="4" t="str">
        <f>IFERROR(__xludf.DUMMYFUNCTION("""COMPUTED_VALUE"""),"-")</f>
        <v>-</v>
      </c>
      <c r="R29" s="4" t="str">
        <f>IFERROR(__xludf.DUMMYFUNCTION("""COMPUTED_VALUE"""),"4.  /TNI0001_1 - /T2 Myeik Pyi Kyaw Aung: Last R: /21/03/26 : /536L  Remain: /0 L = Need: /440L =&gt; 02/08/26 :KeyPhoto: /TNI0001_1RP1")</f>
        <v>4.  /TNI0001_1 - /T2 Myeik Pyi Kyaw Aung: Last R: /21/03/26 : /536L  Remain: /0 L = Need: /440L =&gt; 02/08/26 :KeyPhoto: /TNI0001_1RP1</v>
      </c>
      <c r="Y29" s="3"/>
      <c r="Z29" s="3"/>
      <c r="AA29" s="3"/>
      <c r="AB29" s="3"/>
    </row>
    <row r="30">
      <c r="A30" s="4">
        <f>IFERROR(__xludf.DUMMYFUNCTION("""COMPUTED_VALUE"""),104.0)</f>
        <v>104</v>
      </c>
      <c r="B30" s="4" t="str">
        <f>IFERROR(__xludf.DUMMYFUNCTION("""COMPUTED_VALUE"""),"TNI0002_1")</f>
        <v>TNI0002_1</v>
      </c>
      <c r="C30" s="4" t="str">
        <f>IFERROR(__xludf.DUMMYFUNCTION("""COMPUTED_VALUE"""),"TNI0002")</f>
        <v>TNI0002</v>
      </c>
      <c r="D30" s="8" t="str">
        <f>IFERROR(__xludf.DUMMYFUNCTION("""COMPUTED_VALUE"""),"MYT_TNI_TEAM02")</f>
        <v>MYT_TNI_TEAM02</v>
      </c>
      <c r="E30" s="4" t="str">
        <f>IFERROR(__xludf.DUMMYFUNCTION("""COMPUTED_VALUE"""),"Solar+Grid+DG+BB")</f>
        <v>Solar+Grid+DG+BB</v>
      </c>
      <c r="F30" s="4" t="str">
        <f>IFERROR(__xludf.DUMMYFUNCTION("""COMPUTED_VALUE"""),"Myeik")</f>
        <v>Myeik</v>
      </c>
      <c r="G30" s="4">
        <f>IFERROR(__xludf.DUMMYFUNCTION("""COMPUTED_VALUE"""),8.0)</f>
        <v>8</v>
      </c>
      <c r="H30" s="9">
        <f>IFERROR(__xludf.DUMMYFUNCTION("""COMPUTED_VALUE"""),8.43)</f>
        <v>8.43</v>
      </c>
      <c r="I30" s="4" t="str">
        <f>IFERROR(__xludf.DUMMYFUNCTION("""COMPUTED_VALUE"""),"Pyi Kyaw Aung")</f>
        <v>Pyi Kyaw Aung</v>
      </c>
      <c r="J30" s="12" t="str">
        <f>IFERROR(__xludf.DUMMYFUNCTION("""COMPUTED_VALUE"""),"MEC")</f>
        <v>MEC</v>
      </c>
      <c r="K30" s="10">
        <f>IFERROR(__xludf.DUMMYFUNCTION("""COMPUTED_VALUE"""),46012.0)</f>
        <v>46012</v>
      </c>
      <c r="L30" s="7">
        <f>IFERROR(__xludf.DUMMYFUNCTION("""COMPUTED_VALUE"""),324.32)</f>
        <v>324.32</v>
      </c>
      <c r="M30" s="7">
        <f>IFERROR(__xludf.DUMMYFUNCTION("""COMPUTED_VALUE"""),324.32)</f>
        <v>324.32</v>
      </c>
      <c r="N30" s="7">
        <f>IFERROR(__xludf.DUMMYFUNCTION("""COMPUTED_VALUE"""),0.0)</f>
        <v>0</v>
      </c>
      <c r="O30" s="7">
        <f>IFERROR(__xludf.DUMMYFUNCTION("""COMPUTED_VALUE"""),0.0)</f>
        <v>0</v>
      </c>
      <c r="P30" s="11">
        <f>IFERROR(__xludf.DUMMYFUNCTION("""COMPUTED_VALUE"""),440.0)</f>
        <v>440</v>
      </c>
      <c r="Q30" s="4" t="str">
        <f>IFERROR(__xludf.DUMMYFUNCTION("""COMPUTED_VALUE"""),"-")</f>
        <v>-</v>
      </c>
      <c r="R30" s="4" t="str">
        <f>IFERROR(__xludf.DUMMYFUNCTION("""COMPUTED_VALUE"""),"5.  /TNI0002_1 - /T2 Myeik Pyi Kyaw Aung: Last R: /21/12/25 : /324.32L  Remain: /0 L = Need: /440L =&gt; 02/08/26 :KeyPhoto: /TNI0002_1RP1")</f>
        <v>5.  /TNI0002_1 - /T2 Myeik Pyi Kyaw Aung: Last R: /21/12/25 : /324.32L  Remain: /0 L = Need: /440L =&gt; 02/08/26 :KeyPhoto: /TNI0002_1RP1</v>
      </c>
      <c r="Y30" s="3"/>
      <c r="Z30" s="3"/>
      <c r="AA30" s="3"/>
      <c r="AB30" s="3"/>
    </row>
    <row r="31">
      <c r="A31" s="4">
        <f>IFERROR(__xludf.DUMMYFUNCTION("""COMPUTED_VALUE"""),108.0)</f>
        <v>108</v>
      </c>
      <c r="B31" s="4" t="str">
        <f>IFERROR(__xludf.DUMMYFUNCTION("""COMPUTED_VALUE"""),"TNI0248_1")</f>
        <v>TNI0248_1</v>
      </c>
      <c r="C31" s="4" t="str">
        <f>IFERROR(__xludf.DUMMYFUNCTION("""COMPUTED_VALUE"""),"TNI0248")</f>
        <v>TNI0248</v>
      </c>
      <c r="D31" s="8" t="str">
        <f>IFERROR(__xludf.DUMMYFUNCTION("""COMPUTED_VALUE"""),"MYT_TNI_TEAM02")</f>
        <v>MYT_TNI_TEAM02</v>
      </c>
      <c r="E31" s="4" t="str">
        <f>IFERROR(__xludf.DUMMYFUNCTION("""COMPUTED_VALUE"""),"Solar+Grid+DG+BB")</f>
        <v>Solar+Grid+DG+BB</v>
      </c>
      <c r="F31" s="4" t="str">
        <f>IFERROR(__xludf.DUMMYFUNCTION("""COMPUTED_VALUE"""),"Myeik")</f>
        <v>Myeik</v>
      </c>
      <c r="G31" s="4">
        <f>IFERROR(__xludf.DUMMYFUNCTION("""COMPUTED_VALUE"""),8.0)</f>
        <v>8</v>
      </c>
      <c r="H31" s="9">
        <f>IFERROR(__xludf.DUMMYFUNCTION("""COMPUTED_VALUE"""),8.43)</f>
        <v>8.43</v>
      </c>
      <c r="I31" s="4" t="str">
        <f>IFERROR(__xludf.DUMMYFUNCTION("""COMPUTED_VALUE"""),"Pyi Kyaw Aung")</f>
        <v>Pyi Kyaw Aung</v>
      </c>
      <c r="J31" s="4" t="str">
        <f>IFERROR(__xludf.DUMMYFUNCTION("""COMPUTED_VALUE"""),"Mytel")</f>
        <v>Mytel</v>
      </c>
      <c r="K31" s="10">
        <f>IFERROR(__xludf.DUMMYFUNCTION("""COMPUTED_VALUE"""),46212.0)</f>
        <v>46212</v>
      </c>
      <c r="L31" s="7">
        <f>IFERROR(__xludf.DUMMYFUNCTION("""COMPUTED_VALUE"""),443.0)</f>
        <v>443</v>
      </c>
      <c r="M31" s="7">
        <f>IFERROR(__xludf.DUMMYFUNCTION("""COMPUTED_VALUE"""),139.51999999999998)</f>
        <v>139.52</v>
      </c>
      <c r="N31" s="7">
        <f>IFERROR(__xludf.DUMMYFUNCTION("""COMPUTED_VALUE"""),296.0)</f>
        <v>296</v>
      </c>
      <c r="O31" s="7">
        <f>IFERROR(__xludf.DUMMYFUNCTION("""COMPUTED_VALUE"""),139.51999999999998)</f>
        <v>139.52</v>
      </c>
      <c r="P31" s="11">
        <f>IFERROR(__xludf.DUMMYFUNCTION("""COMPUTED_VALUE"""),440.0)</f>
        <v>440</v>
      </c>
      <c r="Q31" s="4" t="str">
        <f>IFERROR(__xludf.DUMMYFUNCTION("""COMPUTED_VALUE"""),"-")</f>
        <v>-</v>
      </c>
      <c r="R31" s="4" t="str">
        <f>IFERROR(__xludf.DUMMYFUNCTION("""COMPUTED_VALUE"""),"6.  /TNI0248_1 - /T2 Myeik Pyi Kyaw Aung: Last R: /09/07/26 : /443L  Remain: /139.52 L = Need: /440L =&gt; 02/08/26 :KeyPhoto: /TNI0248_1RP1")</f>
        <v>6.  /TNI0248_1 - /T2 Myeik Pyi Kyaw Aung: Last R: /09/07/26 : /443L  Remain: /139.52 L = Need: /440L =&gt; 02/08/26 :KeyPhoto: /TNI0248_1RP1</v>
      </c>
      <c r="Y31" s="3"/>
      <c r="Z31" s="3"/>
      <c r="AA31" s="3"/>
      <c r="AB31" s="3"/>
    </row>
    <row r="32">
      <c r="A32" s="4">
        <f>IFERROR(__xludf.DUMMYFUNCTION("""COMPUTED_VALUE"""),90.0)</f>
        <v>90</v>
      </c>
      <c r="B32" s="4" t="str">
        <f>IFERROR(__xludf.DUMMYFUNCTION("""COMPUTED_VALUE"""),"TNI0042_1")</f>
        <v>TNI0042_1</v>
      </c>
      <c r="C32" s="4" t="str">
        <f>IFERROR(__xludf.DUMMYFUNCTION("""COMPUTED_VALUE"""),"TNI0042")</f>
        <v>TNI0042</v>
      </c>
      <c r="D32" s="8" t="str">
        <f>IFERROR(__xludf.DUMMYFUNCTION("""COMPUTED_VALUE"""),"MYT_TNI_TEAM02")</f>
        <v>MYT_TNI_TEAM02</v>
      </c>
      <c r="E32" s="4" t="str">
        <f>IFERROR(__xludf.DUMMYFUNCTION("""COMPUTED_VALUE"""),"Grid+DG+BB")</f>
        <v>Grid+DG+BB</v>
      </c>
      <c r="F32" s="4" t="str">
        <f>IFERROR(__xludf.DUMMYFUNCTION("""COMPUTED_VALUE"""),"Myeik")</f>
        <v>Myeik</v>
      </c>
      <c r="G32" s="4">
        <f>IFERROR(__xludf.DUMMYFUNCTION("""COMPUTED_VALUE"""),8.0)</f>
        <v>8</v>
      </c>
      <c r="H32" s="9">
        <f>IFERROR(__xludf.DUMMYFUNCTION("""COMPUTED_VALUE"""),8.43)</f>
        <v>8.43</v>
      </c>
      <c r="I32" s="4" t="str">
        <f>IFERROR(__xludf.DUMMYFUNCTION("""COMPUTED_VALUE"""),"Zin Min Shein")</f>
        <v>Zin Min Shein</v>
      </c>
      <c r="J32" s="12" t="str">
        <f>IFERROR(__xludf.DUMMYFUNCTION("""COMPUTED_VALUE"""),"MEC")</f>
        <v>MEC</v>
      </c>
      <c r="K32" s="10">
        <f>IFERROR(__xludf.DUMMYFUNCTION("""COMPUTED_VALUE"""),46012.0)</f>
        <v>46012</v>
      </c>
      <c r="L32" s="7">
        <f>IFERROR(__xludf.DUMMYFUNCTION("""COMPUTED_VALUE"""),168.5)</f>
        <v>168.5</v>
      </c>
      <c r="M32" s="7">
        <f>IFERROR(__xludf.DUMMYFUNCTION("""COMPUTED_VALUE"""),168.5)</f>
        <v>168.5</v>
      </c>
      <c r="N32" s="7">
        <f>IFERROR(__xludf.DUMMYFUNCTION("""COMPUTED_VALUE"""),0.0)</f>
        <v>0</v>
      </c>
      <c r="O32" s="7">
        <f>IFERROR(__xludf.DUMMYFUNCTION("""COMPUTED_VALUE"""),168.5)</f>
        <v>168.5</v>
      </c>
      <c r="P32" s="11">
        <f>IFERROR(__xludf.DUMMYFUNCTION("""COMPUTED_VALUE"""),440.0)</f>
        <v>440</v>
      </c>
      <c r="Q32" s="4" t="str">
        <f>IFERROR(__xludf.DUMMYFUNCTION("""COMPUTED_VALUE"""),"-")</f>
        <v>-</v>
      </c>
      <c r="R32" s="4" t="str">
        <f>IFERROR(__xludf.DUMMYFUNCTION("""COMPUTED_VALUE"""),"7.  /TNI0042_1 - /T2 Myeik Zin Min Shein: Last R: /21/12/25 : /168.5L  Remain: /168.5 L = Need: /440L =&gt; 02/08/26 :KeyPhoto: /TNI0042_1RP1")</f>
        <v>7.  /TNI0042_1 - /T2 Myeik Zin Min Shein: Last R: /21/12/25 : /168.5L  Remain: /168.5 L = Need: /440L =&gt; 02/08/26 :KeyPhoto: /TNI0042_1RP1</v>
      </c>
      <c r="Y32" s="3"/>
      <c r="Z32" s="3"/>
      <c r="AA32" s="3"/>
      <c r="AB32" s="3"/>
    </row>
    <row r="33">
      <c r="A33" s="4">
        <f>IFERROR(__xludf.DUMMYFUNCTION("""COMPUTED_VALUE"""),94.0)</f>
        <v>94</v>
      </c>
      <c r="B33" s="4" t="str">
        <f>IFERROR(__xludf.DUMMYFUNCTION("""COMPUTED_VALUE"""),"TNI0252_1")</f>
        <v>TNI0252_1</v>
      </c>
      <c r="C33" s="4" t="str">
        <f>IFERROR(__xludf.DUMMYFUNCTION("""COMPUTED_VALUE"""),"TNI0252")</f>
        <v>TNI0252</v>
      </c>
      <c r="D33" s="8" t="str">
        <f>IFERROR(__xludf.DUMMYFUNCTION("""COMPUTED_VALUE"""),"MYT_TNI_TEAM02")</f>
        <v>MYT_TNI_TEAM02</v>
      </c>
      <c r="E33" s="4" t="str">
        <f>IFERROR(__xludf.DUMMYFUNCTION("""COMPUTED_VALUE"""),"Grid+DG+BB")</f>
        <v>Grid+DG+BB</v>
      </c>
      <c r="F33" s="4" t="str">
        <f>IFERROR(__xludf.DUMMYFUNCTION("""COMPUTED_VALUE"""),"Myeik")</f>
        <v>Myeik</v>
      </c>
      <c r="G33" s="4">
        <f>IFERROR(__xludf.DUMMYFUNCTION("""COMPUTED_VALUE"""),8.0)</f>
        <v>8</v>
      </c>
      <c r="H33" s="9">
        <f>IFERROR(__xludf.DUMMYFUNCTION("""COMPUTED_VALUE"""),8.43)</f>
        <v>8.43</v>
      </c>
      <c r="I33" s="4" t="str">
        <f>IFERROR(__xludf.DUMMYFUNCTION("""COMPUTED_VALUE"""),"Wanna Oo")</f>
        <v>Wanna Oo</v>
      </c>
      <c r="J33" s="4" t="str">
        <f>IFERROR(__xludf.DUMMYFUNCTION("""COMPUTED_VALUE"""),"Mytel")</f>
        <v>Mytel</v>
      </c>
      <c r="K33" s="10">
        <f>IFERROR(__xludf.DUMMYFUNCTION("""COMPUTED_VALUE"""),46012.0)</f>
        <v>46012</v>
      </c>
      <c r="L33" s="7">
        <f>IFERROR(__xludf.DUMMYFUNCTION("""COMPUTED_VALUE"""),192.87)</f>
        <v>192.87</v>
      </c>
      <c r="M33" s="7">
        <f>IFERROR(__xludf.DUMMYFUNCTION("""COMPUTED_VALUE"""),192.87)</f>
        <v>192.87</v>
      </c>
      <c r="N33" s="7">
        <f>IFERROR(__xludf.DUMMYFUNCTION("""COMPUTED_VALUE"""),0.0)</f>
        <v>0</v>
      </c>
      <c r="O33" s="7">
        <f>IFERROR(__xludf.DUMMYFUNCTION("""COMPUTED_VALUE"""),192.87)</f>
        <v>192.87</v>
      </c>
      <c r="P33" s="11">
        <f>IFERROR(__xludf.DUMMYFUNCTION("""COMPUTED_VALUE"""),440.0)</f>
        <v>440</v>
      </c>
      <c r="Q33" s="4" t="str">
        <f>IFERROR(__xludf.DUMMYFUNCTION("""COMPUTED_VALUE"""),"-")</f>
        <v>-</v>
      </c>
      <c r="R33" s="4" t="str">
        <f>IFERROR(__xludf.DUMMYFUNCTION("""COMPUTED_VALUE"""),"8.  /TNI0252_1 - /T2 Myeik Wanna Oo: Last R: /21/12/25 : /192.87L  Remain: /192.87 L = Need: /440L =&gt; 02/08/26 :KeyPhoto: /TNI0252_1RP1")</f>
        <v>8.  /TNI0252_1 - /T2 Myeik Wanna Oo: Last R: /21/12/25 : /192.87L  Remain: /192.87 L = Need: /440L =&gt; 02/08/26 :KeyPhoto: /TNI0252_1RP1</v>
      </c>
      <c r="Y33" s="3"/>
      <c r="Z33" s="3"/>
      <c r="AA33" s="3"/>
      <c r="AB33" s="3"/>
    </row>
    <row r="34">
      <c r="A34" s="4">
        <f>IFERROR(__xludf.DUMMYFUNCTION("""COMPUTED_VALUE"""),110.0)</f>
        <v>110</v>
      </c>
      <c r="B34" s="4" t="str">
        <f>IFERROR(__xludf.DUMMYFUNCTION("""COMPUTED_VALUE"""),"TNI0127_1")</f>
        <v>TNI0127_1</v>
      </c>
      <c r="C34" s="4" t="str">
        <f>IFERROR(__xludf.DUMMYFUNCTION("""COMPUTED_VALUE"""),"TNI0127")</f>
        <v>TNI0127</v>
      </c>
      <c r="D34" s="8" t="str">
        <f>IFERROR(__xludf.DUMMYFUNCTION("""COMPUTED_VALUE"""),"MYT_TNI_TEAM02")</f>
        <v>MYT_TNI_TEAM02</v>
      </c>
      <c r="E34" s="4" t="str">
        <f>IFERROR(__xludf.DUMMYFUNCTION("""COMPUTED_VALUE"""),"DG+BB")</f>
        <v>DG+BB</v>
      </c>
      <c r="F34" s="4" t="str">
        <f>IFERROR(__xludf.DUMMYFUNCTION("""COMPUTED_VALUE"""),"Palaw")</f>
        <v>Palaw</v>
      </c>
      <c r="G34" s="4">
        <f>IFERROR(__xludf.DUMMYFUNCTION("""COMPUTED_VALUE"""),12.0)</f>
        <v>12</v>
      </c>
      <c r="H34" s="9">
        <f>IFERROR(__xludf.DUMMYFUNCTION("""COMPUTED_VALUE"""),13.4)</f>
        <v>13.4</v>
      </c>
      <c r="I34" s="4" t="str">
        <f>IFERROR(__xludf.DUMMYFUNCTION("""COMPUTED_VALUE"""),"Min Paing Oo")</f>
        <v>Min Paing Oo</v>
      </c>
      <c r="J34" s="12" t="str">
        <f>IFERROR(__xludf.DUMMYFUNCTION("""COMPUTED_VALUE"""),"MEC.PNC")</f>
        <v>MEC.PNC</v>
      </c>
      <c r="K34" s="10">
        <f>IFERROR(__xludf.DUMMYFUNCTION("""COMPUTED_VALUE"""),46221.0)</f>
        <v>46221</v>
      </c>
      <c r="L34" s="7">
        <f>IFERROR(__xludf.DUMMYFUNCTION("""COMPUTED_VALUE"""),723.0)</f>
        <v>723</v>
      </c>
      <c r="M34" s="7">
        <f>IFERROR(__xludf.DUMMYFUNCTION("""COMPUTED_VALUE"""),544.65)</f>
        <v>544.65</v>
      </c>
      <c r="N34" s="7">
        <f>IFERROR(__xludf.DUMMYFUNCTION("""COMPUTED_VALUE"""),0.0)</f>
        <v>0</v>
      </c>
      <c r="O34" s="7">
        <f>IFERROR(__xludf.DUMMYFUNCTION("""COMPUTED_VALUE"""),0.0)</f>
        <v>0</v>
      </c>
      <c r="P34" s="11">
        <f>IFERROR(__xludf.DUMMYFUNCTION("""COMPUTED_VALUE"""),440.0)</f>
        <v>440</v>
      </c>
      <c r="Q34" s="4" t="str">
        <f>IFERROR(__xludf.DUMMYFUNCTION("""COMPUTED_VALUE"""),"-")</f>
        <v>-</v>
      </c>
      <c r="R34" s="4" t="str">
        <f>IFERROR(__xludf.DUMMYFUNCTION("""COMPUTED_VALUE"""),"9.  /TNI0127_1 - /T2 Palaw Min Paing Oo: Last R: /18/07/26 : /723L  Remain: /0 L = Need: /440L =&gt; 02/08/26 :KeyPhoto: /TNI0127_1RP1")</f>
        <v>9.  /TNI0127_1 - /T2 Palaw Min Paing Oo: Last R: /18/07/26 : /723L  Remain: /0 L = Need: /440L =&gt; 02/08/26 :KeyPhoto: /TNI0127_1RP1</v>
      </c>
      <c r="Y34" s="3"/>
      <c r="Z34" s="3"/>
      <c r="AA34" s="3"/>
      <c r="AB34" s="3"/>
    </row>
    <row r="35">
      <c r="A35" s="4">
        <f>IFERROR(__xludf.DUMMYFUNCTION("""COMPUTED_VALUE"""),121.0)</f>
        <v>121</v>
      </c>
      <c r="B35" s="4" t="str">
        <f>IFERROR(__xludf.DUMMYFUNCTION("""COMPUTED_VALUE"""),"TNI0007_1")</f>
        <v>TNI0007_1</v>
      </c>
      <c r="C35" s="4" t="str">
        <f>IFERROR(__xludf.DUMMYFUNCTION("""COMPUTED_VALUE"""),"TNI0007")</f>
        <v>TNI0007</v>
      </c>
      <c r="D35" s="8" t="str">
        <f>IFERROR(__xludf.DUMMYFUNCTION("""COMPUTED_VALUE"""),"MYT_TNI_TEAM02")</f>
        <v>MYT_TNI_TEAM02</v>
      </c>
      <c r="E35" s="4" t="str">
        <f>IFERROR(__xludf.DUMMYFUNCTION("""COMPUTED_VALUE"""),"Solar+2 DG+BB")</f>
        <v>Solar+2 DG+BB</v>
      </c>
      <c r="F35" s="4" t="str">
        <f>IFERROR(__xludf.DUMMYFUNCTION("""COMPUTED_VALUE"""),"Palaw")</f>
        <v>Palaw</v>
      </c>
      <c r="G35" s="4">
        <f>IFERROR(__xludf.DUMMYFUNCTION("""COMPUTED_VALUE"""),30.0)</f>
        <v>30</v>
      </c>
      <c r="H35" s="9">
        <f>IFERROR(__xludf.DUMMYFUNCTION("""COMPUTED_VALUE"""),17.57)</f>
        <v>17.57</v>
      </c>
      <c r="I35" s="4" t="str">
        <f>IFERROR(__xludf.DUMMYFUNCTION("""COMPUTED_VALUE"""),"Min Paing Oo")</f>
        <v>Min Paing Oo</v>
      </c>
      <c r="J35" s="4" t="str">
        <f>IFERROR(__xludf.DUMMYFUNCTION("""COMPUTED_VALUE"""),"Mytel")</f>
        <v>Mytel</v>
      </c>
      <c r="K35" s="10">
        <f>IFERROR(__xludf.DUMMYFUNCTION("""COMPUTED_VALUE"""),46205.0)</f>
        <v>46205</v>
      </c>
      <c r="L35" s="7">
        <f>IFERROR(__xludf.DUMMYFUNCTION("""COMPUTED_VALUE"""),791.0)</f>
        <v>791</v>
      </c>
      <c r="M35" s="7">
        <f>IFERROR(__xludf.DUMMYFUNCTION("""COMPUTED_VALUE"""),0.0)</f>
        <v>0</v>
      </c>
      <c r="N35" s="7">
        <f>IFERROR(__xludf.DUMMYFUNCTION("""COMPUTED_VALUE"""),0.0)</f>
        <v>0</v>
      </c>
      <c r="O35" s="7">
        <f>IFERROR(__xludf.DUMMYFUNCTION("""COMPUTED_VALUE"""),0.0)</f>
        <v>0</v>
      </c>
      <c r="P35" s="11">
        <f>IFERROR(__xludf.DUMMYFUNCTION("""COMPUTED_VALUE"""),440.0)</f>
        <v>440</v>
      </c>
      <c r="Q35" s="4" t="str">
        <f>IFERROR(__xludf.DUMMYFUNCTION("""COMPUTED_VALUE"""),"-")</f>
        <v>-</v>
      </c>
      <c r="R35" s="4" t="str">
        <f>IFERROR(__xludf.DUMMYFUNCTION("""COMPUTED_VALUE"""),"10.  /TNI0007_1 - /T2 Palaw Min Paing Oo: Last R: /02/07/26 : /791L  Remain: /0 L = Need: /440L =&gt; 02/08/26 :KeyPhoto: /TNI0007_1RP1")</f>
        <v>10.  /TNI0007_1 - /T2 Palaw Min Paing Oo: Last R: /02/07/26 : /791L  Remain: /0 L = Need: /440L =&gt; 02/08/26 :KeyPhoto: /TNI0007_1RP1</v>
      </c>
      <c r="Y35" s="3"/>
      <c r="Z35" s="3"/>
      <c r="AA35" s="3"/>
      <c r="AB35" s="3"/>
    </row>
    <row r="36">
      <c r="A36" s="4">
        <f>IFERROR(__xludf.DUMMYFUNCTION("""COMPUTED_VALUE"""),111.0)</f>
        <v>111</v>
      </c>
      <c r="B36" s="4" t="str">
        <f>IFERROR(__xludf.DUMMYFUNCTION("""COMPUTED_VALUE"""),"TNI0234_1")</f>
        <v>TNI0234_1</v>
      </c>
      <c r="C36" s="4" t="str">
        <f>IFERROR(__xludf.DUMMYFUNCTION("""COMPUTED_VALUE"""),"TNI0234")</f>
        <v>TNI0234</v>
      </c>
      <c r="D36" s="8" t="str">
        <f>IFERROR(__xludf.DUMMYFUNCTION("""COMPUTED_VALUE"""),"MYT_TNI_TEAM02")</f>
        <v>MYT_TNI_TEAM02</v>
      </c>
      <c r="E36" s="4" t="str">
        <f>IFERROR(__xludf.DUMMYFUNCTION("""COMPUTED_VALUE"""),"DG+BB")</f>
        <v>DG+BB</v>
      </c>
      <c r="F36" s="4" t="str">
        <f>IFERROR(__xludf.DUMMYFUNCTION("""COMPUTED_VALUE"""),"Palaw")</f>
        <v>Palaw</v>
      </c>
      <c r="G36" s="4">
        <f>IFERROR(__xludf.DUMMYFUNCTION("""COMPUTED_VALUE"""),12.0)</f>
        <v>12</v>
      </c>
      <c r="H36" s="9">
        <f>IFERROR(__xludf.DUMMYFUNCTION("""COMPUTED_VALUE"""),13.4)</f>
        <v>13.4</v>
      </c>
      <c r="I36" s="4" t="str">
        <f>IFERROR(__xludf.DUMMYFUNCTION("""COMPUTED_VALUE"""),"Aye Min Soe")</f>
        <v>Aye Min Soe</v>
      </c>
      <c r="J36" s="4" t="str">
        <f>IFERROR(__xludf.DUMMYFUNCTION("""COMPUTED_VALUE"""),"Mytel")</f>
        <v>Mytel</v>
      </c>
      <c r="K36" s="10">
        <f>IFERROR(__xludf.DUMMYFUNCTION("""COMPUTED_VALUE"""),46214.0)</f>
        <v>46214</v>
      </c>
      <c r="L36" s="7">
        <f>IFERROR(__xludf.DUMMYFUNCTION("""COMPUTED_VALUE"""),663.0)</f>
        <v>663</v>
      </c>
      <c r="M36" s="7">
        <f>IFERROR(__xludf.DUMMYFUNCTION("""COMPUTED_VALUE"""),405.15999999999997)</f>
        <v>405.16</v>
      </c>
      <c r="N36" s="7">
        <f>IFERROR(__xludf.DUMMYFUNCTION("""COMPUTED_VALUE"""),133.0)</f>
        <v>133</v>
      </c>
      <c r="O36" s="7">
        <f>IFERROR(__xludf.DUMMYFUNCTION("""COMPUTED_VALUE"""),133.0)</f>
        <v>133</v>
      </c>
      <c r="P36" s="11">
        <f>IFERROR(__xludf.DUMMYFUNCTION("""COMPUTED_VALUE"""),440.0)</f>
        <v>440</v>
      </c>
      <c r="Q36" s="4" t="str">
        <f>IFERROR(__xludf.DUMMYFUNCTION("""COMPUTED_VALUE"""),"-")</f>
        <v>-</v>
      </c>
      <c r="R36" s="4" t="str">
        <f>IFERROR(__xludf.DUMMYFUNCTION("""COMPUTED_VALUE"""),"11.  /TNI0234_1 - /T2 Palaw Aye Min Soe: Last R: /11/07/26 : /663L  Remain: /133 L = Need: /440L =&gt; 02/08/26 :KeyPhoto: /TNI0234_1RP1")</f>
        <v>11.  /TNI0234_1 - /T2 Palaw Aye Min Soe: Last R: /11/07/26 : /663L  Remain: /133 L = Need: /440L =&gt; 02/08/26 :KeyPhoto: /TNI0234_1RP1</v>
      </c>
      <c r="Y36" s="3"/>
      <c r="Z36" s="3"/>
      <c r="AA36" s="3"/>
      <c r="AB36" s="3"/>
    </row>
    <row r="37">
      <c r="A37" s="4">
        <f>IFERROR(__xludf.DUMMYFUNCTION("""COMPUTED_VALUE"""),119.0)</f>
        <v>119</v>
      </c>
      <c r="B37" s="4" t="str">
        <f>IFERROR(__xludf.DUMMYFUNCTION("""COMPUTED_VALUE"""),"TNI0291_1")</f>
        <v>TNI0291_1</v>
      </c>
      <c r="C37" s="4" t="str">
        <f>IFERROR(__xludf.DUMMYFUNCTION("""COMPUTED_VALUE"""),"TNI0291")</f>
        <v>TNI0291</v>
      </c>
      <c r="D37" s="8" t="str">
        <f>IFERROR(__xludf.DUMMYFUNCTION("""COMPUTED_VALUE"""),"MYT_TNI_TEAM02")</f>
        <v>MYT_TNI_TEAM02</v>
      </c>
      <c r="E37" s="4" t="str">
        <f>IFERROR(__xludf.DUMMYFUNCTION("""COMPUTED_VALUE"""),"Grid+DG+BB")</f>
        <v>Grid+DG+BB</v>
      </c>
      <c r="F37" s="4" t="str">
        <f>IFERROR(__xludf.DUMMYFUNCTION("""COMPUTED_VALUE"""),"Palaw")</f>
        <v>Palaw</v>
      </c>
      <c r="G37" s="4">
        <f>IFERROR(__xludf.DUMMYFUNCTION("""COMPUTED_VALUE"""),12.0)</f>
        <v>12</v>
      </c>
      <c r="H37" s="9">
        <f>IFERROR(__xludf.DUMMYFUNCTION("""COMPUTED_VALUE"""),13.4)</f>
        <v>13.4</v>
      </c>
      <c r="I37" s="4" t="str">
        <f>IFERROR(__xludf.DUMMYFUNCTION("""COMPUTED_VALUE"""),"Aye Min Soe")</f>
        <v>Aye Min Soe</v>
      </c>
      <c r="J37" s="4" t="str">
        <f>IFERROR(__xludf.DUMMYFUNCTION("""COMPUTED_VALUE"""),"Mytel")</f>
        <v>Mytel</v>
      </c>
      <c r="K37" s="10">
        <f>IFERROR(__xludf.DUMMYFUNCTION("""COMPUTED_VALUE"""),46209.0)</f>
        <v>46209</v>
      </c>
      <c r="L37" s="7">
        <f>IFERROR(__xludf.DUMMYFUNCTION("""COMPUTED_VALUE"""),690.0)</f>
        <v>690</v>
      </c>
      <c r="M37" s="7">
        <f>IFERROR(__xludf.DUMMYFUNCTION("""COMPUTED_VALUE"""),165.12)</f>
        <v>165.12</v>
      </c>
      <c r="N37" s="7">
        <f>IFERROR(__xludf.DUMMYFUNCTION("""COMPUTED_VALUE"""),0.0)</f>
        <v>0</v>
      </c>
      <c r="O37" s="7">
        <f>IFERROR(__xludf.DUMMYFUNCTION("""COMPUTED_VALUE"""),165.12)</f>
        <v>165.12</v>
      </c>
      <c r="P37" s="11">
        <f>IFERROR(__xludf.DUMMYFUNCTION("""COMPUTED_VALUE"""),440.0)</f>
        <v>440</v>
      </c>
      <c r="Q37" s="4" t="str">
        <f>IFERROR(__xludf.DUMMYFUNCTION("""COMPUTED_VALUE"""),"-")</f>
        <v>-</v>
      </c>
      <c r="R37" s="4" t="str">
        <f>IFERROR(__xludf.DUMMYFUNCTION("""COMPUTED_VALUE"""),"12.  /TNI0291_1 - /T2 Palaw Aye Min Soe: Last R: /06/07/26 : /690L  Remain: /165.12 L = Need: /440L =&gt; 02/08/26 :KeyPhoto: /TNI0291_1RP1")</f>
        <v>12.  /TNI0291_1 - /T2 Palaw Aye Min Soe: Last R: /06/07/26 : /690L  Remain: /165.12 L = Need: /440L =&gt; 02/08/26 :KeyPhoto: /TNI0291_1RP1</v>
      </c>
      <c r="Y37" s="3"/>
      <c r="Z37" s="3"/>
      <c r="AA37" s="3"/>
      <c r="AB37" s="3"/>
    </row>
    <row r="38">
      <c r="A38" s="4">
        <f>IFERROR(__xludf.DUMMYFUNCTION("""COMPUTED_VALUE"""),133.0)</f>
        <v>133</v>
      </c>
      <c r="B38" s="4" t="str">
        <f>IFERROR(__xludf.DUMMYFUNCTION("""COMPUTED_VALUE"""),"TNI0402_1")</f>
        <v>TNI0402_1</v>
      </c>
      <c r="C38" s="4" t="str">
        <f>IFERROR(__xludf.DUMMYFUNCTION("""COMPUTED_VALUE"""),"TNI0402")</f>
        <v>TNI0402</v>
      </c>
      <c r="D38" s="8" t="str">
        <f>IFERROR(__xludf.DUMMYFUNCTION("""COMPUTED_VALUE"""),"MYT_TNI_TEAM03")</f>
        <v>MYT_TNI_TEAM03</v>
      </c>
      <c r="E38" s="4" t="str">
        <f>IFERROR(__xludf.DUMMYFUNCTION("""COMPUTED_VALUE"""),"DG+BB")</f>
        <v>DG+BB</v>
      </c>
      <c r="F38" s="4" t="str">
        <f>IFERROR(__xludf.DUMMYFUNCTION("""COMPUTED_VALUE"""),"Bokpyin")</f>
        <v>Bokpyin</v>
      </c>
      <c r="G38" s="4" t="str">
        <f>IFERROR(__xludf.DUMMYFUNCTION("""COMPUTED_VALUE"""),"13.TIP")</f>
        <v>13.TIP</v>
      </c>
      <c r="H38" s="9">
        <f>IFERROR(__xludf.DUMMYFUNCTION("""COMPUTED_VALUE"""),13.4)</f>
        <v>13.4</v>
      </c>
      <c r="I38" s="4" t="str">
        <f>IFERROR(__xludf.DUMMYFUNCTION("""COMPUTED_VALUE"""),"Khant Si Thu")</f>
        <v>Khant Si Thu</v>
      </c>
      <c r="J38" s="12" t="str">
        <f>IFERROR(__xludf.DUMMYFUNCTION("""COMPUTED_VALUE"""),"TIP")</f>
        <v>TIP</v>
      </c>
      <c r="K38" s="10">
        <f>IFERROR(__xludf.DUMMYFUNCTION("""COMPUTED_VALUE"""),46228.0)</f>
        <v>46228</v>
      </c>
      <c r="L38" s="7">
        <f>IFERROR(__xludf.DUMMYFUNCTION("""COMPUTED_VALUE"""),289.0)</f>
        <v>289</v>
      </c>
      <c r="M38" s="7">
        <f>IFERROR(__xludf.DUMMYFUNCTION("""COMPUTED_VALUE"""),74.6)</f>
        <v>74.6</v>
      </c>
      <c r="N38" s="7">
        <f>IFERROR(__xludf.DUMMYFUNCTION("""COMPUTED_VALUE"""),0.0)</f>
        <v>0</v>
      </c>
      <c r="O38" s="7">
        <f>IFERROR(__xludf.DUMMYFUNCTION("""COMPUTED_VALUE"""),74.6)</f>
        <v>74.6</v>
      </c>
      <c r="P38" s="11">
        <f>IFERROR(__xludf.DUMMYFUNCTION("""COMPUTED_VALUE"""),440.0)</f>
        <v>440</v>
      </c>
      <c r="Q38" s="4" t="str">
        <f>IFERROR(__xludf.DUMMYFUNCTION("""COMPUTED_VALUE"""),"-")</f>
        <v>-</v>
      </c>
      <c r="R38" s="4" t="str">
        <f>IFERROR(__xludf.DUMMYFUNCTION("""COMPUTED_VALUE"""),"1.  /TNI0402_1 - /T3 Bokpyin Khant Si Thu: Last R: /25/07/26 : /289L  Remain: /74.6 L = Need: /440L =&gt; 02/08/26 :KeyPhoto: /TNI0402_1RP1")</f>
        <v>1.  /TNI0402_1 - /T3 Bokpyin Khant Si Thu: Last R: /25/07/26 : /289L  Remain: /74.6 L = Need: /440L =&gt; 02/08/26 :KeyPhoto: /TNI0402_1RP1</v>
      </c>
      <c r="Y38" s="3"/>
      <c r="Z38" s="3"/>
      <c r="AA38" s="3"/>
      <c r="AB38" s="3"/>
    </row>
    <row r="39">
      <c r="A39" s="4">
        <f>IFERROR(__xludf.DUMMYFUNCTION("""COMPUTED_VALUE"""),128.0)</f>
        <v>128</v>
      </c>
      <c r="B39" s="4" t="str">
        <f>IFERROR(__xludf.DUMMYFUNCTION("""COMPUTED_VALUE"""),"TNI0103_1")</f>
        <v>TNI0103_1</v>
      </c>
      <c r="C39" s="4" t="str">
        <f>IFERROR(__xludf.DUMMYFUNCTION("""COMPUTED_VALUE"""),"TNI0103")</f>
        <v>TNI0103</v>
      </c>
      <c r="D39" s="8" t="str">
        <f>IFERROR(__xludf.DUMMYFUNCTION("""COMPUTED_VALUE"""),"MYT_TNI_TEAM03")</f>
        <v>MYT_TNI_TEAM03</v>
      </c>
      <c r="E39" s="4" t="str">
        <f>IFERROR(__xludf.DUMMYFUNCTION("""COMPUTED_VALUE"""),"DG+BB")</f>
        <v>DG+BB</v>
      </c>
      <c r="F39" s="4" t="str">
        <f>IFERROR(__xludf.DUMMYFUNCTION("""COMPUTED_VALUE"""),"Bokpyin")</f>
        <v>Bokpyin</v>
      </c>
      <c r="G39" s="4">
        <f>IFERROR(__xludf.DUMMYFUNCTION("""COMPUTED_VALUE"""),8.0)</f>
        <v>8</v>
      </c>
      <c r="H39" s="9">
        <f>IFERROR(__xludf.DUMMYFUNCTION("""COMPUTED_VALUE"""),8.43)</f>
        <v>8.43</v>
      </c>
      <c r="I39" s="4" t="str">
        <f>IFERROR(__xludf.DUMMYFUNCTION("""COMPUTED_VALUE"""),"Tin Naing Lin")</f>
        <v>Tin Naing Lin</v>
      </c>
      <c r="J39" s="12" t="str">
        <f>IFERROR(__xludf.DUMMYFUNCTION("""COMPUTED_VALUE"""),"PAT")</f>
        <v>PAT</v>
      </c>
      <c r="K39" s="10">
        <f>IFERROR(__xludf.DUMMYFUNCTION("""COMPUTED_VALUE"""),46216.0)</f>
        <v>46216</v>
      </c>
      <c r="L39" s="7">
        <f>IFERROR(__xludf.DUMMYFUNCTION("""COMPUTED_VALUE"""),252.0)</f>
        <v>252</v>
      </c>
      <c r="M39" s="7">
        <f>IFERROR(__xludf.DUMMYFUNCTION("""COMPUTED_VALUE"""),77.6)</f>
        <v>77.6</v>
      </c>
      <c r="N39" s="7">
        <f>IFERROR(__xludf.DUMMYFUNCTION("""COMPUTED_VALUE"""),83.0)</f>
        <v>83</v>
      </c>
      <c r="O39" s="7">
        <f>IFERROR(__xludf.DUMMYFUNCTION("""COMPUTED_VALUE"""),77.6)</f>
        <v>77.6</v>
      </c>
      <c r="P39" s="11">
        <f>IFERROR(__xludf.DUMMYFUNCTION("""COMPUTED_VALUE"""),440.0)</f>
        <v>440</v>
      </c>
      <c r="Q39" s="4" t="str">
        <f>IFERROR(__xludf.DUMMYFUNCTION("""COMPUTED_VALUE"""),"-")</f>
        <v>-</v>
      </c>
      <c r="R39" s="4" t="str">
        <f>IFERROR(__xludf.DUMMYFUNCTION("""COMPUTED_VALUE"""),"2.  /TNI0103_1 - /T3 Bokpyin Tin Naing Lin: Last R: /13/07/26 : /252L  Remain: /77.6 L = Need: /440L =&gt; 02/08/26 :KeyPhoto: /TNI0103_1RP1")</f>
        <v>2.  /TNI0103_1 - /T3 Bokpyin Tin Naing Lin: Last R: /13/07/26 : /252L  Remain: /77.6 L = Need: /440L =&gt; 02/08/26 :KeyPhoto: /TNI0103_1RP1</v>
      </c>
      <c r="Y39" s="3"/>
      <c r="Z39" s="3"/>
      <c r="AA39" s="3"/>
      <c r="AB39" s="3"/>
    </row>
    <row r="40">
      <c r="A40" s="4">
        <f>IFERROR(__xludf.DUMMYFUNCTION("""COMPUTED_VALUE"""),143.0)</f>
        <v>143</v>
      </c>
      <c r="B40" s="4" t="str">
        <f>IFERROR(__xludf.DUMMYFUNCTION("""COMPUTED_VALUE"""),"TNI0116_1")</f>
        <v>TNI0116_1</v>
      </c>
      <c r="C40" s="4" t="str">
        <f>IFERROR(__xludf.DUMMYFUNCTION("""COMPUTED_VALUE"""),"TNI0116")</f>
        <v>TNI0116</v>
      </c>
      <c r="D40" s="8" t="str">
        <f>IFERROR(__xludf.DUMMYFUNCTION("""COMPUTED_VALUE"""),"MYT_TNI_TEAM03")</f>
        <v>MYT_TNI_TEAM03</v>
      </c>
      <c r="E40" s="4" t="str">
        <f>IFERROR(__xludf.DUMMYFUNCTION("""COMPUTED_VALUE"""),"DG+BB")</f>
        <v>DG+BB</v>
      </c>
      <c r="F40" s="4" t="str">
        <f>IFERROR(__xludf.DUMMYFUNCTION("""COMPUTED_VALUE"""),"Tanintharyi")</f>
        <v>Tanintharyi</v>
      </c>
      <c r="G40" s="4">
        <f>IFERROR(__xludf.DUMMYFUNCTION("""COMPUTED_VALUE"""),8.0)</f>
        <v>8</v>
      </c>
      <c r="H40" s="9">
        <f>IFERROR(__xludf.DUMMYFUNCTION("""COMPUTED_VALUE"""),8.43)</f>
        <v>8.43</v>
      </c>
      <c r="I40" s="4" t="str">
        <f>IFERROR(__xludf.DUMMYFUNCTION("""COMPUTED_VALUE"""),"Tin Naing Lin")</f>
        <v>Tin Naing Lin</v>
      </c>
      <c r="J40" s="12" t="str">
        <f>IFERROR(__xludf.DUMMYFUNCTION("""COMPUTED_VALUE"""),"MEC")</f>
        <v>MEC</v>
      </c>
      <c r="K40" s="10">
        <f>IFERROR(__xludf.DUMMYFUNCTION("""COMPUTED_VALUE"""),46173.0)</f>
        <v>46173</v>
      </c>
      <c r="L40" s="7">
        <f>IFERROR(__xludf.DUMMYFUNCTION("""COMPUTED_VALUE"""),433.0)</f>
        <v>433</v>
      </c>
      <c r="M40" s="7">
        <f>IFERROR(__xludf.DUMMYFUNCTION("""COMPUTED_VALUE"""),78.94)</f>
        <v>78.94</v>
      </c>
      <c r="N40" s="7">
        <f>IFERROR(__xludf.DUMMYFUNCTION("""COMPUTED_VALUE"""),154.0)</f>
        <v>154</v>
      </c>
      <c r="O40" s="7">
        <f>IFERROR(__xludf.DUMMYFUNCTION("""COMPUTED_VALUE"""),154.0)</f>
        <v>154</v>
      </c>
      <c r="P40" s="11">
        <f>IFERROR(__xludf.DUMMYFUNCTION("""COMPUTED_VALUE"""),440.0)</f>
        <v>440</v>
      </c>
      <c r="Q40" s="4" t="str">
        <f>IFERROR(__xludf.DUMMYFUNCTION("""COMPUTED_VALUE"""),"-")</f>
        <v>-</v>
      </c>
      <c r="R40" s="4" t="str">
        <f>IFERROR(__xludf.DUMMYFUNCTION("""COMPUTED_VALUE"""),"3.  /TNI0116_1 - /T3 Tanintharyi Tin Naing Lin: Last R: /31/05/26 : /433L  Remain: /154 L = Need: /440L =&gt; 02/08/26 :KeyPhoto: /TNI0116_1RP1")</f>
        <v>3.  /TNI0116_1 - /T3 Tanintharyi Tin Naing Lin: Last R: /31/05/26 : /433L  Remain: /154 L = Need: /440L =&gt; 02/08/26 :KeyPhoto: /TNI0116_1RP1</v>
      </c>
      <c r="Y40" s="3"/>
      <c r="Z40" s="3"/>
      <c r="AA40" s="3"/>
      <c r="AB40" s="3"/>
    </row>
    <row r="41">
      <c r="A41" s="4">
        <f>IFERROR(__xludf.DUMMYFUNCTION("""COMPUTED_VALUE"""),148.0)</f>
        <v>148</v>
      </c>
      <c r="B41" s="4" t="str">
        <f>IFERROR(__xludf.DUMMYFUNCTION("""COMPUTED_VALUE"""),"TNI0004_1")</f>
        <v>TNI0004_1</v>
      </c>
      <c r="C41" s="4" t="str">
        <f>IFERROR(__xludf.DUMMYFUNCTION("""COMPUTED_VALUE"""),"TNI0004")</f>
        <v>TNI0004</v>
      </c>
      <c r="D41" s="8" t="str">
        <f>IFERROR(__xludf.DUMMYFUNCTION("""COMPUTED_VALUE"""),"MYT_TNI_TEAM03")</f>
        <v>MYT_TNI_TEAM03</v>
      </c>
      <c r="E41" s="4" t="str">
        <f>IFERROR(__xludf.DUMMYFUNCTION("""COMPUTED_VALUE"""),"Solar+2 DG+BB")</f>
        <v>Solar+2 DG+BB</v>
      </c>
      <c r="F41" s="4" t="str">
        <f>IFERROR(__xludf.DUMMYFUNCTION("""COMPUTED_VALUE"""),"Tanintharyi")</f>
        <v>Tanintharyi</v>
      </c>
      <c r="G41" s="4">
        <f>IFERROR(__xludf.DUMMYFUNCTION("""COMPUTED_VALUE"""),30.0)</f>
        <v>30</v>
      </c>
      <c r="H41" s="9">
        <f>IFERROR(__xludf.DUMMYFUNCTION("""COMPUTED_VALUE"""),17.57)</f>
        <v>17.57</v>
      </c>
      <c r="I41" s="4" t="str">
        <f>IFERROR(__xludf.DUMMYFUNCTION("""COMPUTED_VALUE"""),"Myint Ko Ko Aung")</f>
        <v>Myint Ko Ko Aung</v>
      </c>
      <c r="J41" s="4" t="str">
        <f>IFERROR(__xludf.DUMMYFUNCTION("""COMPUTED_VALUE"""),"Mytel")</f>
        <v>Mytel</v>
      </c>
      <c r="K41" s="10">
        <f>IFERROR(__xludf.DUMMYFUNCTION("""COMPUTED_VALUE"""),46211.0)</f>
        <v>46211</v>
      </c>
      <c r="L41" s="7">
        <f>IFERROR(__xludf.DUMMYFUNCTION("""COMPUTED_VALUE"""),870.0)</f>
        <v>870</v>
      </c>
      <c r="M41" s="7">
        <f>IFERROR(__xludf.DUMMYFUNCTION("""COMPUTED_VALUE"""),176.0)</f>
        <v>176</v>
      </c>
      <c r="N41" s="7">
        <f>IFERROR(__xludf.DUMMYFUNCTION("""COMPUTED_VALUE"""),0.0)</f>
        <v>0</v>
      </c>
      <c r="O41" s="7">
        <f>IFERROR(__xludf.DUMMYFUNCTION("""COMPUTED_VALUE"""),176.0)</f>
        <v>176</v>
      </c>
      <c r="P41" s="11">
        <f>IFERROR(__xludf.DUMMYFUNCTION("""COMPUTED_VALUE"""),440.0)</f>
        <v>440</v>
      </c>
      <c r="Q41" s="4" t="str">
        <f>IFERROR(__xludf.DUMMYFUNCTION("""COMPUTED_VALUE"""),"-")</f>
        <v>-</v>
      </c>
      <c r="R41" s="4" t="str">
        <f>IFERROR(__xludf.DUMMYFUNCTION("""COMPUTED_VALUE"""),"4.  /TNI0004_1 - /T3 Tanintharyi Myint Ko Ko Aung: Last R: /08/07/26 : /870L  Remain: /176 L = Need: /440L =&gt; 02/08/26 :KeyPhoto: /TNI0004_1RP1")</f>
        <v>4.  /TNI0004_1 - /T3 Tanintharyi Myint Ko Ko Aung: Last R: /08/07/26 : /870L  Remain: /176 L = Need: /440L =&gt; 02/08/26 :KeyPhoto: /TNI0004_1RP1</v>
      </c>
      <c r="Y41" s="3"/>
      <c r="Z41" s="3"/>
      <c r="AA41" s="3"/>
      <c r="AB41" s="3"/>
    </row>
    <row r="42">
      <c r="A42" s="4">
        <f>IFERROR(__xludf.DUMMYFUNCTION("""COMPUTED_VALUE"""),150.0)</f>
        <v>150</v>
      </c>
      <c r="B42" s="4" t="str">
        <f>IFERROR(__xludf.DUMMYFUNCTION("""COMPUTED_VALUE"""),"TNI0212_1")</f>
        <v>TNI0212_1</v>
      </c>
      <c r="C42" s="4" t="str">
        <f>IFERROR(__xludf.DUMMYFUNCTION("""COMPUTED_VALUE"""),"TNI0212")</f>
        <v>TNI0212</v>
      </c>
      <c r="D42" s="8" t="str">
        <f>IFERROR(__xludf.DUMMYFUNCTION("""COMPUTED_VALUE"""),"MYT_TNI_TEAM03")</f>
        <v>MYT_TNI_TEAM03</v>
      </c>
      <c r="E42" s="4" t="str">
        <f>IFERROR(__xludf.DUMMYFUNCTION("""COMPUTED_VALUE"""),"Solar+DG+BB")</f>
        <v>Solar+DG+BB</v>
      </c>
      <c r="F42" s="4" t="str">
        <f>IFERROR(__xludf.DUMMYFUNCTION("""COMPUTED_VALUE"""),"Tanintharyi")</f>
        <v>Tanintharyi</v>
      </c>
      <c r="G42" s="4">
        <f>IFERROR(__xludf.DUMMYFUNCTION("""COMPUTED_VALUE"""),12.0)</f>
        <v>12</v>
      </c>
      <c r="H42" s="9">
        <f>IFERROR(__xludf.DUMMYFUNCTION("""COMPUTED_VALUE"""),13.4)</f>
        <v>13.4</v>
      </c>
      <c r="I42" s="4" t="str">
        <f>IFERROR(__xludf.DUMMYFUNCTION("""COMPUTED_VALUE"""),"Myint Ko Ko Aung")</f>
        <v>Myint Ko Ko Aung</v>
      </c>
      <c r="J42" s="4" t="str">
        <f>IFERROR(__xludf.DUMMYFUNCTION("""COMPUTED_VALUE"""),"Mytel")</f>
        <v>Mytel</v>
      </c>
      <c r="K42" s="10">
        <f>IFERROR(__xludf.DUMMYFUNCTION("""COMPUTED_VALUE"""),46183.0)</f>
        <v>46183</v>
      </c>
      <c r="L42" s="7">
        <f>IFERROR(__xludf.DUMMYFUNCTION("""COMPUTED_VALUE"""),683.0)</f>
        <v>683</v>
      </c>
      <c r="M42" s="7">
        <f>IFERROR(__xludf.DUMMYFUNCTION("""COMPUTED_VALUE"""),482.13535353535354)</f>
        <v>482.1353535</v>
      </c>
      <c r="N42" s="7">
        <f>IFERROR(__xludf.DUMMYFUNCTION("""COMPUTED_VALUE"""),194.0)</f>
        <v>194</v>
      </c>
      <c r="O42" s="7">
        <f>IFERROR(__xludf.DUMMYFUNCTION("""COMPUTED_VALUE"""),194.0)</f>
        <v>194</v>
      </c>
      <c r="P42" s="11">
        <f>IFERROR(__xludf.DUMMYFUNCTION("""COMPUTED_VALUE"""),440.0)</f>
        <v>440</v>
      </c>
      <c r="Q42" s="4" t="str">
        <f>IFERROR(__xludf.DUMMYFUNCTION("""COMPUTED_VALUE"""),"-")</f>
        <v>-</v>
      </c>
      <c r="R42" s="4" t="str">
        <f>IFERROR(__xludf.DUMMYFUNCTION("""COMPUTED_VALUE"""),"5.  /TNI0212_1 - /T3 Tanintharyi Myint Ko Ko Aung: Last R: /10/06/26 : /683L  Remain: /194 L = Need: /440L =&gt; 02/08/26 :KeyPhoto: /TNI0212_1RP1")</f>
        <v>5.  /TNI0212_1 - /T3 Tanintharyi Myint Ko Ko Aung: Last R: /10/06/26 : /683L  Remain: /194 L = Need: /440L =&gt; 02/08/26 :KeyPhoto: /TNI0212_1RP1</v>
      </c>
      <c r="Y42" s="3"/>
      <c r="Z42" s="3"/>
      <c r="AA42" s="3"/>
      <c r="AB42" s="3"/>
    </row>
    <row r="43">
      <c r="A43" s="4">
        <f>IFERROR(__xludf.DUMMYFUNCTION("""COMPUTED_VALUE"""),151.0)</f>
        <v>151</v>
      </c>
      <c r="B43" s="4" t="str">
        <f>IFERROR(__xludf.DUMMYFUNCTION("""COMPUTED_VALUE"""),"TNI0015_1")</f>
        <v>TNI0015_1</v>
      </c>
      <c r="C43" s="4" t="str">
        <f>IFERROR(__xludf.DUMMYFUNCTION("""COMPUTED_VALUE"""),"TNI0015")</f>
        <v>TNI0015</v>
      </c>
      <c r="D43" s="8" t="str">
        <f>IFERROR(__xludf.DUMMYFUNCTION("""COMPUTED_VALUE"""),"MYT_TNI_TEAM04")</f>
        <v>MYT_TNI_TEAM04</v>
      </c>
      <c r="E43" s="4" t="str">
        <f>IFERROR(__xludf.DUMMYFUNCTION("""COMPUTED_VALUE"""),"Solar+2 DG+BB")</f>
        <v>Solar+2 DG+BB</v>
      </c>
      <c r="F43" s="4" t="str">
        <f>IFERROR(__xludf.DUMMYFUNCTION("""COMPUTED_VALUE"""),"Bokpyin")</f>
        <v>Bokpyin</v>
      </c>
      <c r="G43" s="4">
        <f>IFERROR(__xludf.DUMMYFUNCTION("""COMPUTED_VALUE"""),12.0)</f>
        <v>12</v>
      </c>
      <c r="H43" s="9">
        <f>IFERROR(__xludf.DUMMYFUNCTION("""COMPUTED_VALUE"""),13.4)</f>
        <v>13.4</v>
      </c>
      <c r="I43" s="4" t="str">
        <f>IFERROR(__xludf.DUMMYFUNCTION("""COMPUTED_VALUE"""),"Tin Maung Win")</f>
        <v>Tin Maung Win</v>
      </c>
      <c r="J43" s="4" t="str">
        <f>IFERROR(__xludf.DUMMYFUNCTION("""COMPUTED_VALUE"""),"Mytel")</f>
        <v>Mytel</v>
      </c>
      <c r="K43" s="10">
        <f>IFERROR(__xludf.DUMMYFUNCTION("""COMPUTED_VALUE"""),46200.0)</f>
        <v>46200</v>
      </c>
      <c r="L43" s="7">
        <f>IFERROR(__xludf.DUMMYFUNCTION("""COMPUTED_VALUE"""),931.0)</f>
        <v>931</v>
      </c>
      <c r="M43" s="7">
        <f>IFERROR(__xludf.DUMMYFUNCTION("""COMPUTED_VALUE"""),336.64)</f>
        <v>336.64</v>
      </c>
      <c r="N43" s="7">
        <f>IFERROR(__xludf.DUMMYFUNCTION("""COMPUTED_VALUE"""),0.0)</f>
        <v>0</v>
      </c>
      <c r="O43" s="7">
        <f>IFERROR(__xludf.DUMMYFUNCTION("""COMPUTED_VALUE"""),0.0)</f>
        <v>0</v>
      </c>
      <c r="P43" s="11">
        <f>IFERROR(__xludf.DUMMYFUNCTION("""COMPUTED_VALUE"""),440.0)</f>
        <v>440</v>
      </c>
      <c r="Q43" s="4" t="str">
        <f>IFERROR(__xludf.DUMMYFUNCTION("""COMPUTED_VALUE"""),"-")</f>
        <v>-</v>
      </c>
      <c r="R43" s="4" t="str">
        <f>IFERROR(__xludf.DUMMYFUNCTION("""COMPUTED_VALUE"""),"1.  /TNI0015_1 - /T4 Bokpyin Tin Maung Win: Last R: /27/06/26 : /931L  Remain: /0 L = Need: /440L =&gt; 02/08/26 :KeyPhoto: /TNI0015_1RP1")</f>
        <v>1.  /TNI0015_1 - /T4 Bokpyin Tin Maung Win: Last R: /27/06/26 : /931L  Remain: /0 L = Need: /440L =&gt; 02/08/26 :KeyPhoto: /TNI0015_1RP1</v>
      </c>
      <c r="Y43" s="3"/>
      <c r="Z43" s="3"/>
      <c r="AA43" s="3"/>
      <c r="AB43" s="3"/>
    </row>
    <row r="44">
      <c r="A44" s="4">
        <f>IFERROR(__xludf.DUMMYFUNCTION("""COMPUTED_VALUE"""),168.0)</f>
        <v>168</v>
      </c>
      <c r="B44" s="4" t="str">
        <f>IFERROR(__xludf.DUMMYFUNCTION("""COMPUTED_VALUE"""),"TNI0202_1")</f>
        <v>TNI0202_1</v>
      </c>
      <c r="C44" s="4" t="str">
        <f>IFERROR(__xludf.DUMMYFUNCTION("""COMPUTED_VALUE"""),"TNI0202")</f>
        <v>TNI0202</v>
      </c>
      <c r="D44" s="8" t="str">
        <f>IFERROR(__xludf.DUMMYFUNCTION("""COMPUTED_VALUE"""),"MYT_TNI_TEAM04")</f>
        <v>MYT_TNI_TEAM04</v>
      </c>
      <c r="E44" s="4" t="str">
        <f>IFERROR(__xludf.DUMMYFUNCTION("""COMPUTED_VALUE"""),"Solar+Grid+DG+BB")</f>
        <v>Solar+Grid+DG+BB</v>
      </c>
      <c r="F44" s="4" t="str">
        <f>IFERROR(__xludf.DUMMYFUNCTION("""COMPUTED_VALUE"""),"Kawthoung")</f>
        <v>Kawthoung</v>
      </c>
      <c r="G44" s="4">
        <f>IFERROR(__xludf.DUMMYFUNCTION("""COMPUTED_VALUE"""),8.0)</f>
        <v>8</v>
      </c>
      <c r="H44" s="9">
        <f>IFERROR(__xludf.DUMMYFUNCTION("""COMPUTED_VALUE"""),8.43)</f>
        <v>8.43</v>
      </c>
      <c r="I44" s="4" t="str">
        <f>IFERROR(__xludf.DUMMYFUNCTION("""COMPUTED_VALUE"""),"Tin Maung Win")</f>
        <v>Tin Maung Win</v>
      </c>
      <c r="J44" s="4" t="str">
        <f>IFERROR(__xludf.DUMMYFUNCTION("""COMPUTED_VALUE"""),"Mytel")</f>
        <v>Mytel</v>
      </c>
      <c r="K44" s="10">
        <f>IFERROR(__xludf.DUMMYFUNCTION("""COMPUTED_VALUE"""),46012.0)</f>
        <v>46012</v>
      </c>
      <c r="L44" s="7">
        <f>IFERROR(__xludf.DUMMYFUNCTION("""COMPUTED_VALUE"""),0.0)</f>
        <v>0</v>
      </c>
      <c r="M44" s="7">
        <f>IFERROR(__xludf.DUMMYFUNCTION("""COMPUTED_VALUE"""),0.0)</f>
        <v>0</v>
      </c>
      <c r="N44" s="7">
        <f>IFERROR(__xludf.DUMMYFUNCTION("""COMPUTED_VALUE"""),528.0)</f>
        <v>528</v>
      </c>
      <c r="O44" s="7">
        <f>IFERROR(__xludf.DUMMYFUNCTION("""COMPUTED_VALUE"""),0.0)</f>
        <v>0</v>
      </c>
      <c r="P44" s="11">
        <f>IFERROR(__xludf.DUMMYFUNCTION("""COMPUTED_VALUE"""),440.0)</f>
        <v>440</v>
      </c>
      <c r="Q44" s="4" t="str">
        <f>IFERROR(__xludf.DUMMYFUNCTION("""COMPUTED_VALUE"""),"-")</f>
        <v>-</v>
      </c>
      <c r="R44" s="4" t="str">
        <f>IFERROR(__xludf.DUMMYFUNCTION("""COMPUTED_VALUE"""),"2.  /TNI0202_1 - /T4 Kawthoung Tin Maung Win: Last R: /21/12/25 : /0L  Remain: /0 L = Need: /440L =&gt; 02/08/26 :KeyPhoto: /TNI0202_1RP1")</f>
        <v>2.  /TNI0202_1 - /T4 Kawthoung Tin Maung Win: Last R: /21/12/25 : /0L  Remain: /0 L = Need: /440L =&gt; 02/08/26 :KeyPhoto: /TNI0202_1RP1</v>
      </c>
      <c r="Y44" s="3"/>
      <c r="Z44" s="3"/>
      <c r="AA44" s="3"/>
      <c r="AB44" s="3"/>
    </row>
    <row r="45">
      <c r="A45" s="4">
        <f>IFERROR(__xludf.DUMMYFUNCTION("""COMPUTED_VALUE"""),163.0)</f>
        <v>163</v>
      </c>
      <c r="B45" s="4" t="str">
        <f>IFERROR(__xludf.DUMMYFUNCTION("""COMPUTED_VALUE"""),"TNI0012_2")</f>
        <v>TNI0012_2</v>
      </c>
      <c r="C45" s="4" t="str">
        <f>IFERROR(__xludf.DUMMYFUNCTION("""COMPUTED_VALUE"""),"TNI0012")</f>
        <v>TNI0012</v>
      </c>
      <c r="D45" s="8" t="str">
        <f>IFERROR(__xludf.DUMMYFUNCTION("""COMPUTED_VALUE"""),"MYT_TNI_TEAM04")</f>
        <v>MYT_TNI_TEAM04</v>
      </c>
      <c r="E45" s="4" t="str">
        <f>IFERROR(__xludf.DUMMYFUNCTION("""COMPUTED_VALUE"""),"Solar+2 DG+BB")</f>
        <v>Solar+2 DG+BB</v>
      </c>
      <c r="F45" s="4" t="str">
        <f>IFERROR(__xludf.DUMMYFUNCTION("""COMPUTED_VALUE"""),"Kawthoung")</f>
        <v>Kawthoung</v>
      </c>
      <c r="G45" s="4">
        <f>IFERROR(__xludf.DUMMYFUNCTION("""COMPUTED_VALUE"""),30.0)</f>
        <v>30</v>
      </c>
      <c r="H45" s="9">
        <f>IFERROR(__xludf.DUMMYFUNCTION("""COMPUTED_VALUE"""),17.57)</f>
        <v>17.57</v>
      </c>
      <c r="I45" s="4" t="str">
        <f>IFERROR(__xludf.DUMMYFUNCTION("""COMPUTED_VALUE"""),"Khant Chaw Nyo")</f>
        <v>Khant Chaw Nyo</v>
      </c>
      <c r="J45" s="4" t="str">
        <f>IFERROR(__xludf.DUMMYFUNCTION("""COMPUTED_VALUE"""),"Mytel")</f>
        <v>Mytel</v>
      </c>
      <c r="K45" s="10">
        <f>IFERROR(__xludf.DUMMYFUNCTION("""COMPUTED_VALUE"""),46217.0)</f>
        <v>46217</v>
      </c>
      <c r="L45" s="7">
        <f>IFERROR(__xludf.DUMMYFUNCTION("""COMPUTED_VALUE"""),771.0)</f>
        <v>771</v>
      </c>
      <c r="M45" s="7">
        <f>IFERROR(__xludf.DUMMYFUNCTION("""COMPUTED_VALUE"""),362.12)</f>
        <v>362.12</v>
      </c>
      <c r="N45" s="7">
        <f>IFERROR(__xludf.DUMMYFUNCTION("""COMPUTED_VALUE"""),101.0)</f>
        <v>101</v>
      </c>
      <c r="O45" s="7">
        <f>IFERROR(__xludf.DUMMYFUNCTION("""COMPUTED_VALUE"""),101.0)</f>
        <v>101</v>
      </c>
      <c r="P45" s="11">
        <f>IFERROR(__xludf.DUMMYFUNCTION("""COMPUTED_VALUE"""),440.0)</f>
        <v>440</v>
      </c>
      <c r="Q45" s="4" t="str">
        <f>IFERROR(__xludf.DUMMYFUNCTION("""COMPUTED_VALUE"""),"-")</f>
        <v>-</v>
      </c>
      <c r="R45" s="4" t="str">
        <f>IFERROR(__xludf.DUMMYFUNCTION("""COMPUTED_VALUE"""),"3.  /TNI0012_2 - /T4 Kawthoung Khant Chaw Nyo: Last R: /14/07/26 : /771L  Remain: /101 L = Need: /440L =&gt; 02/08/26 :KeyPhoto: /TNI0012_2RP1")</f>
        <v>3.  /TNI0012_2 - /T4 Kawthoung Khant Chaw Nyo: Last R: /14/07/26 : /771L  Remain: /101 L = Need: /440L =&gt; 02/08/26 :KeyPhoto: /TNI0012_2RP1</v>
      </c>
      <c r="Y45" s="3"/>
      <c r="Z45" s="3"/>
      <c r="AA45" s="3"/>
      <c r="AB45" s="3"/>
    </row>
    <row r="46">
      <c r="A46" s="4">
        <f>IFERROR(__xludf.DUMMYFUNCTION("""COMPUTED_VALUE"""),156.0)</f>
        <v>156</v>
      </c>
      <c r="B46" s="4" t="str">
        <f>IFERROR(__xludf.DUMMYFUNCTION("""COMPUTED_VALUE"""),"TNI0392_1")</f>
        <v>TNI0392_1</v>
      </c>
      <c r="C46" s="4" t="str">
        <f>IFERROR(__xludf.DUMMYFUNCTION("""COMPUTED_VALUE"""),"TNI0392")</f>
        <v>TNI0392</v>
      </c>
      <c r="D46" s="8" t="str">
        <f>IFERROR(__xludf.DUMMYFUNCTION("""COMPUTED_VALUE"""),"MYT_TNI_TEAM04")</f>
        <v>MYT_TNI_TEAM04</v>
      </c>
      <c r="E46" s="4" t="str">
        <f>IFERROR(__xludf.DUMMYFUNCTION("""COMPUTED_VALUE"""),"DG+BB")</f>
        <v>DG+BB</v>
      </c>
      <c r="F46" s="4" t="str">
        <f>IFERROR(__xludf.DUMMYFUNCTION("""COMPUTED_VALUE"""),"Kawthoung")</f>
        <v>Kawthoung</v>
      </c>
      <c r="G46" s="4" t="str">
        <f>IFERROR(__xludf.DUMMYFUNCTION("""COMPUTED_VALUE"""),"12D")</f>
        <v>12D</v>
      </c>
      <c r="H46" s="9">
        <f>IFERROR(__xludf.DUMMYFUNCTION("""COMPUTED_VALUE"""),15.14)</f>
        <v>15.14</v>
      </c>
      <c r="I46" s="4" t="str">
        <f>IFERROR(__xludf.DUMMYFUNCTION("""COMPUTED_VALUE"""),"Tin Maung Win")</f>
        <v>Tin Maung Win</v>
      </c>
      <c r="J46" s="12" t="str">
        <f>IFERROR(__xludf.DUMMYFUNCTION("""COMPUTED_VALUE"""),"MEC")</f>
        <v>MEC</v>
      </c>
      <c r="K46" s="10">
        <f>IFERROR(__xludf.DUMMYFUNCTION("""COMPUTED_VALUE"""),46151.0)</f>
        <v>46151</v>
      </c>
      <c r="L46" s="7">
        <f>IFERROR(__xludf.DUMMYFUNCTION("""COMPUTED_VALUE"""),689.0)</f>
        <v>689</v>
      </c>
      <c r="M46" s="7">
        <f>IFERROR(__xludf.DUMMYFUNCTION("""COMPUTED_VALUE"""),131.78556701030925)</f>
        <v>131.785567</v>
      </c>
      <c r="N46" s="7">
        <f>IFERROR(__xludf.DUMMYFUNCTION("""COMPUTED_VALUE"""),1008.0)</f>
        <v>1008</v>
      </c>
      <c r="O46" s="7">
        <f>IFERROR(__xludf.DUMMYFUNCTION("""COMPUTED_VALUE"""),131.78556701030925)</f>
        <v>131.785567</v>
      </c>
      <c r="P46" s="11">
        <f>IFERROR(__xludf.DUMMYFUNCTION("""COMPUTED_VALUE"""),440.0)</f>
        <v>440</v>
      </c>
      <c r="Q46" s="4" t="str">
        <f>IFERROR(__xludf.DUMMYFUNCTION("""COMPUTED_VALUE"""),"-")</f>
        <v>-</v>
      </c>
      <c r="R46" s="4" t="str">
        <f>IFERROR(__xludf.DUMMYFUNCTION("""COMPUTED_VALUE"""),"4.  /TNI0392_1 - /T4 Kawthoung Tin Maung Win: Last R: /09/05/26 : /689L  Remain: /131.785567010309 L = Need: /440L =&gt; 02/08/26 :KeyPhoto: /TNI0392_1RP1")</f>
        <v>4.  /TNI0392_1 - /T4 Kawthoung Tin Maung Win: Last R: /09/05/26 : /689L  Remain: /131.785567010309 L = Need: /440L =&gt; 02/08/26 :KeyPhoto: /TNI0392_1RP1</v>
      </c>
      <c r="Y46" s="3"/>
      <c r="Z46" s="3"/>
      <c r="AA46" s="3"/>
      <c r="AB46" s="3"/>
    </row>
    <row r="47">
      <c r="A47" s="4">
        <f>IFERROR(__xludf.DUMMYFUNCTION("""COMPUTED_VALUE"""),165.0)</f>
        <v>165</v>
      </c>
      <c r="B47" s="4" t="str">
        <f>IFERROR(__xludf.DUMMYFUNCTION("""COMPUTED_VALUE"""),"TNI0123_1")</f>
        <v>TNI0123_1</v>
      </c>
      <c r="C47" s="4" t="str">
        <f>IFERROR(__xludf.DUMMYFUNCTION("""COMPUTED_VALUE"""),"TNI0123")</f>
        <v>TNI0123</v>
      </c>
      <c r="D47" s="8" t="str">
        <f>IFERROR(__xludf.DUMMYFUNCTION("""COMPUTED_VALUE"""),"MYT_TNI_TEAM04")</f>
        <v>MYT_TNI_TEAM04</v>
      </c>
      <c r="E47" s="4" t="str">
        <f>IFERROR(__xludf.DUMMYFUNCTION("""COMPUTED_VALUE"""),"Solar+DG+BB")</f>
        <v>Solar+DG+BB</v>
      </c>
      <c r="F47" s="4" t="str">
        <f>IFERROR(__xludf.DUMMYFUNCTION("""COMPUTED_VALUE"""),"Kawthoung")</f>
        <v>Kawthoung</v>
      </c>
      <c r="G47" s="4">
        <f>IFERROR(__xludf.DUMMYFUNCTION("""COMPUTED_VALUE"""),8.0)</f>
        <v>8</v>
      </c>
      <c r="H47" s="9">
        <f>IFERROR(__xludf.DUMMYFUNCTION("""COMPUTED_VALUE"""),8.43)</f>
        <v>8.43</v>
      </c>
      <c r="I47" s="4" t="str">
        <f>IFERROR(__xludf.DUMMYFUNCTION("""COMPUTED_VALUE"""),"Tin Maung Win")</f>
        <v>Tin Maung Win</v>
      </c>
      <c r="J47" s="12" t="str">
        <f>IFERROR(__xludf.DUMMYFUNCTION("""COMPUTED_VALUE"""),"MEC.PNC")</f>
        <v>MEC.PNC</v>
      </c>
      <c r="K47" s="10">
        <f>IFERROR(__xludf.DUMMYFUNCTION("""COMPUTED_VALUE"""),46204.0)</f>
        <v>46204</v>
      </c>
      <c r="L47" s="7">
        <f>IFERROR(__xludf.DUMMYFUNCTION("""COMPUTED_VALUE"""),425.0)</f>
        <v>425</v>
      </c>
      <c r="M47" s="7">
        <f>IFERROR(__xludf.DUMMYFUNCTION("""COMPUTED_VALUE"""),164.83999999999997)</f>
        <v>164.84</v>
      </c>
      <c r="N47" s="7">
        <f>IFERROR(__xludf.DUMMYFUNCTION("""COMPUTED_VALUE"""),644.0)</f>
        <v>644</v>
      </c>
      <c r="O47" s="7">
        <f>IFERROR(__xludf.DUMMYFUNCTION("""COMPUTED_VALUE"""),164.83999999999997)</f>
        <v>164.84</v>
      </c>
      <c r="P47" s="11">
        <f>IFERROR(__xludf.DUMMYFUNCTION("""COMPUTED_VALUE"""),440.0)</f>
        <v>440</v>
      </c>
      <c r="Q47" s="4" t="str">
        <f>IFERROR(__xludf.DUMMYFUNCTION("""COMPUTED_VALUE"""),"-")</f>
        <v>-</v>
      </c>
      <c r="R47" s="4" t="str">
        <f>IFERROR(__xludf.DUMMYFUNCTION("""COMPUTED_VALUE"""),"5.  /TNI0123_1 - /T4 Kawthoung Tin Maung Win: Last R: /01/07/26 : /425L  Remain: /164.84 L = Need: /440L =&gt; 02/08/26 :KeyPhoto: /TNI0123_1RP1")</f>
        <v>5.  /TNI0123_1 - /T4 Kawthoung Tin Maung Win: Last R: /01/07/26 : /425L  Remain: /164.84 L = Need: /440L =&gt; 02/08/26 :KeyPhoto: /TNI0123_1RP1</v>
      </c>
      <c r="Y47" s="3"/>
      <c r="Z47" s="3"/>
      <c r="AA47" s="3"/>
      <c r="AB47" s="3"/>
    </row>
    <row r="48">
      <c r="A48" s="4">
        <f>IFERROR(__xludf.DUMMYFUNCTION("""COMPUTED_VALUE"""),154.0)</f>
        <v>154</v>
      </c>
      <c r="B48" s="4" t="str">
        <f>IFERROR(__xludf.DUMMYFUNCTION("""COMPUTED_VALUE"""),"TNI0233_1")</f>
        <v>TNI0233_1</v>
      </c>
      <c r="C48" s="4" t="str">
        <f>IFERROR(__xludf.DUMMYFUNCTION("""COMPUTED_VALUE"""),"TNI0233")</f>
        <v>TNI0233</v>
      </c>
      <c r="D48" s="8" t="str">
        <f>IFERROR(__xludf.DUMMYFUNCTION("""COMPUTED_VALUE"""),"MYT_TNI_TEAM04")</f>
        <v>MYT_TNI_TEAM04</v>
      </c>
      <c r="E48" s="4" t="str">
        <f>IFERROR(__xludf.DUMMYFUNCTION("""COMPUTED_VALUE"""),"DG+BB")</f>
        <v>DG+BB</v>
      </c>
      <c r="F48" s="4" t="str">
        <f>IFERROR(__xludf.DUMMYFUNCTION("""COMPUTED_VALUE"""),"Kawthoung")</f>
        <v>Kawthoung</v>
      </c>
      <c r="G48" s="4">
        <f>IFERROR(__xludf.DUMMYFUNCTION("""COMPUTED_VALUE"""),8.0)</f>
        <v>8</v>
      </c>
      <c r="H48" s="9">
        <f>IFERROR(__xludf.DUMMYFUNCTION("""COMPUTED_VALUE"""),8.43)</f>
        <v>8.43</v>
      </c>
      <c r="I48" s="4" t="str">
        <f>IFERROR(__xludf.DUMMYFUNCTION("""COMPUTED_VALUE"""),"Tin Maung Win")</f>
        <v>Tin Maung Win</v>
      </c>
      <c r="J48" s="4" t="str">
        <f>IFERROR(__xludf.DUMMYFUNCTION("""COMPUTED_VALUE"""),"Mytel")</f>
        <v>Mytel</v>
      </c>
      <c r="K48" s="10">
        <f>IFERROR(__xludf.DUMMYFUNCTION("""COMPUTED_VALUE"""),46012.0)</f>
        <v>46012</v>
      </c>
      <c r="L48" s="7">
        <f>IFERROR(__xludf.DUMMYFUNCTION("""COMPUTED_VALUE"""),189.56)</f>
        <v>189.56</v>
      </c>
      <c r="M48" s="7">
        <f>IFERROR(__xludf.DUMMYFUNCTION("""COMPUTED_VALUE"""),189.56)</f>
        <v>189.56</v>
      </c>
      <c r="N48" s="7">
        <f>IFERROR(__xludf.DUMMYFUNCTION("""COMPUTED_VALUE"""),0.0)</f>
        <v>0</v>
      </c>
      <c r="O48" s="7">
        <f>IFERROR(__xludf.DUMMYFUNCTION("""COMPUTED_VALUE"""),189.56)</f>
        <v>189.56</v>
      </c>
      <c r="P48" s="11">
        <f>IFERROR(__xludf.DUMMYFUNCTION("""COMPUTED_VALUE"""),440.0)</f>
        <v>440</v>
      </c>
      <c r="Q48" s="4" t="str">
        <f>IFERROR(__xludf.DUMMYFUNCTION("""COMPUTED_VALUE"""),"-")</f>
        <v>-</v>
      </c>
      <c r="R48" s="4" t="str">
        <f>IFERROR(__xludf.DUMMYFUNCTION("""COMPUTED_VALUE"""),"6.  /TNI0233_1 - /T4 Kawthoung Tin Maung Win: Last R: /21/12/25 : /189.56L  Remain: /189.56 L = Need: /440L =&gt; 02/08/26 :KeyPhoto: /TNI0233_1RP1")</f>
        <v>6.  /TNI0233_1 - /T4 Kawthoung Tin Maung Win: Last R: /21/12/25 : /189.56L  Remain: /189.56 L = Need: /440L =&gt; 02/08/26 :KeyPhoto: /TNI0233_1RP1</v>
      </c>
      <c r="Y48" s="3"/>
      <c r="Z48" s="3"/>
      <c r="AA48" s="3"/>
      <c r="AB48" s="3"/>
    </row>
    <row r="49">
      <c r="A49" s="4"/>
      <c r="B49" s="4"/>
      <c r="C49" s="4"/>
      <c r="D49" s="4"/>
      <c r="E49" s="4"/>
      <c r="F49" s="4"/>
      <c r="G49" s="4"/>
      <c r="H49" s="4"/>
      <c r="I49" s="4"/>
      <c r="J49" s="4"/>
      <c r="K49" s="4"/>
      <c r="L49" s="4"/>
      <c r="M49" s="4"/>
      <c r="N49" s="4"/>
      <c r="O49" s="4"/>
      <c r="P49" s="4"/>
      <c r="Q49" s="4" t="str">
        <f>IFERROR(__xludf.DUMMYFUNCTION("""COMPUTED_VALUE"""),"-")</f>
        <v>-</v>
      </c>
      <c r="R49" s="4" t="str">
        <f>IFERROR(__xludf.DUMMYFUNCTION("""COMPUTED_VALUE"""),"")</f>
        <v/>
      </c>
      <c r="Y49" s="3"/>
      <c r="Z49" s="3"/>
      <c r="AA49" s="3"/>
      <c r="AB49" s="3"/>
    </row>
    <row r="50">
      <c r="A50" s="4"/>
      <c r="B50" s="4"/>
      <c r="C50" s="4"/>
      <c r="D50" s="4"/>
      <c r="E50" s="4"/>
      <c r="F50" s="4"/>
      <c r="G50" s="4"/>
      <c r="H50" s="4"/>
      <c r="I50" s="4"/>
      <c r="J50" s="4"/>
      <c r="K50" s="4"/>
      <c r="L50" s="4"/>
      <c r="M50" s="4"/>
      <c r="N50" s="4"/>
      <c r="O50" s="4"/>
      <c r="P50" s="4"/>
      <c r="Q50" s="4" t="str">
        <f>IFERROR(__xludf.DUMMYFUNCTION("""COMPUTED_VALUE"""),"-")</f>
        <v>-</v>
      </c>
      <c r="R50" s="4" t="str">
        <f>IFERROR(__xludf.DUMMYFUNCTION("""COMPUTED_VALUE"""),"")</f>
        <v/>
      </c>
      <c r="Y50" s="3"/>
      <c r="Z50" s="3"/>
      <c r="AA50" s="3"/>
      <c r="AB50" s="3"/>
    </row>
    <row r="51">
      <c r="A51" s="4"/>
      <c r="B51" s="4"/>
      <c r="C51" s="4"/>
      <c r="D51" s="4"/>
      <c r="E51" s="4"/>
      <c r="F51" s="4"/>
      <c r="G51" s="4"/>
      <c r="H51" s="4"/>
      <c r="I51" s="4"/>
      <c r="J51" s="4"/>
      <c r="K51" s="4"/>
      <c r="L51" s="4"/>
      <c r="M51" s="4"/>
      <c r="N51" s="4"/>
      <c r="O51" s="4"/>
      <c r="P51" s="4"/>
      <c r="Q51" s="4" t="str">
        <f>IFERROR(__xludf.DUMMYFUNCTION("""COMPUTED_VALUE"""),"-")</f>
        <v>-</v>
      </c>
      <c r="R51" s="4" t="str">
        <f>IFERROR(__xludf.DUMMYFUNCTION("""COMPUTED_VALUE"""),"")</f>
        <v/>
      </c>
      <c r="Y51" s="3"/>
      <c r="Z51" s="3"/>
      <c r="AA51" s="3"/>
      <c r="AB51" s="3"/>
    </row>
    <row r="52">
      <c r="A52" s="4"/>
      <c r="B52" s="4"/>
      <c r="C52" s="4"/>
      <c r="D52" s="4"/>
      <c r="E52" s="4"/>
      <c r="F52" s="4"/>
      <c r="G52" s="4"/>
      <c r="H52" s="4"/>
      <c r="I52" s="4"/>
      <c r="J52" s="4"/>
      <c r="K52" s="4"/>
      <c r="L52" s="4"/>
      <c r="M52" s="4"/>
      <c r="N52" s="4"/>
      <c r="O52" s="4"/>
      <c r="P52" s="4"/>
      <c r="Q52" s="4" t="str">
        <f>IFERROR(__xludf.DUMMYFUNCTION("""COMPUTED_VALUE"""),"-")</f>
        <v>-</v>
      </c>
      <c r="R52" s="4" t="str">
        <f>IFERROR(__xludf.DUMMYFUNCTION("""COMPUTED_VALUE"""),"")</f>
        <v/>
      </c>
      <c r="Y52" s="3"/>
      <c r="Z52" s="3"/>
      <c r="AA52" s="3"/>
      <c r="AB52" s="3"/>
    </row>
    <row r="53">
      <c r="A53" s="4"/>
      <c r="B53" s="4"/>
      <c r="C53" s="4"/>
      <c r="D53" s="4"/>
      <c r="E53" s="4"/>
      <c r="F53" s="4"/>
      <c r="G53" s="4"/>
      <c r="H53" s="4"/>
      <c r="I53" s="4"/>
      <c r="J53" s="4"/>
      <c r="K53" s="4"/>
      <c r="L53" s="4"/>
      <c r="M53" s="4"/>
      <c r="N53" s="4"/>
      <c r="O53" s="4"/>
      <c r="P53" s="4"/>
      <c r="Q53" s="4" t="str">
        <f>IFERROR(__xludf.DUMMYFUNCTION("""COMPUTED_VALUE"""),"-")</f>
        <v>-</v>
      </c>
      <c r="R53" s="4" t="str">
        <f>IFERROR(__xludf.DUMMYFUNCTION("""COMPUTED_VALUE"""),"")</f>
        <v/>
      </c>
      <c r="Y53" s="3"/>
      <c r="Z53" s="3"/>
      <c r="AA53" s="3"/>
      <c r="AB53" s="3"/>
    </row>
    <row r="54">
      <c r="A54" s="4"/>
      <c r="B54" s="4"/>
      <c r="C54" s="4"/>
      <c r="D54" s="4"/>
      <c r="E54" s="4"/>
      <c r="F54" s="4"/>
      <c r="G54" s="4"/>
      <c r="H54" s="4"/>
      <c r="I54" s="4"/>
      <c r="J54" s="4"/>
      <c r="K54" s="4"/>
      <c r="L54" s="4"/>
      <c r="M54" s="4"/>
      <c r="N54" s="4"/>
      <c r="O54" s="4"/>
      <c r="P54" s="4"/>
      <c r="Q54" s="4" t="str">
        <f>IFERROR(__xludf.DUMMYFUNCTION("""COMPUTED_VALUE"""),"-")</f>
        <v>-</v>
      </c>
      <c r="R54" s="4" t="str">
        <f>IFERROR(__xludf.DUMMYFUNCTION("""COMPUTED_VALUE"""),"")</f>
        <v/>
      </c>
      <c r="Y54" s="3"/>
      <c r="Z54" s="3"/>
      <c r="AA54" s="3"/>
      <c r="AB54" s="3"/>
    </row>
    <row r="55">
      <c r="A55" s="4"/>
      <c r="B55" s="4"/>
      <c r="C55" s="4"/>
      <c r="D55" s="4"/>
      <c r="E55" s="4"/>
      <c r="F55" s="4"/>
      <c r="G55" s="4"/>
      <c r="H55" s="4"/>
      <c r="I55" s="4"/>
      <c r="J55" s="4"/>
      <c r="K55" s="4"/>
      <c r="L55" s="4"/>
      <c r="M55" s="4"/>
      <c r="N55" s="4"/>
      <c r="O55" s="4"/>
      <c r="P55" s="4"/>
      <c r="Q55" s="4" t="str">
        <f>IFERROR(__xludf.DUMMYFUNCTION("""COMPUTED_VALUE"""),"-")</f>
        <v>-</v>
      </c>
      <c r="R55" s="4" t="str">
        <f>IFERROR(__xludf.DUMMYFUNCTION("""COMPUTED_VALUE"""),"")</f>
        <v/>
      </c>
      <c r="Y55" s="3"/>
      <c r="Z55" s="3"/>
      <c r="AA55" s="3"/>
      <c r="AB55" s="3"/>
    </row>
    <row r="56">
      <c r="A56" s="4"/>
      <c r="B56" s="4"/>
      <c r="C56" s="4"/>
      <c r="D56" s="4"/>
      <c r="E56" s="4"/>
      <c r="F56" s="4"/>
      <c r="G56" s="4"/>
      <c r="H56" s="4"/>
      <c r="I56" s="4"/>
      <c r="J56" s="4"/>
      <c r="K56" s="4"/>
      <c r="L56" s="4"/>
      <c r="M56" s="4"/>
      <c r="N56" s="4"/>
      <c r="O56" s="4"/>
      <c r="P56" s="4"/>
      <c r="Q56" s="4" t="str">
        <f>IFERROR(__xludf.DUMMYFUNCTION("""COMPUTED_VALUE"""),"-")</f>
        <v>-</v>
      </c>
      <c r="R56" s="4" t="str">
        <f>IFERROR(__xludf.DUMMYFUNCTION("""COMPUTED_VALUE"""),"")</f>
        <v/>
      </c>
      <c r="Y56" s="3"/>
      <c r="Z56" s="3"/>
      <c r="AA56" s="3"/>
      <c r="AB56" s="3"/>
    </row>
    <row r="57">
      <c r="A57" s="4"/>
      <c r="B57" s="4"/>
      <c r="C57" s="4"/>
      <c r="D57" s="4"/>
      <c r="E57" s="4"/>
      <c r="F57" s="4"/>
      <c r="G57" s="4"/>
      <c r="H57" s="4"/>
      <c r="I57" s="4"/>
      <c r="J57" s="4"/>
      <c r="K57" s="4"/>
      <c r="L57" s="4"/>
      <c r="M57" s="4"/>
      <c r="N57" s="4"/>
      <c r="O57" s="4"/>
      <c r="P57" s="4"/>
      <c r="Q57" s="4" t="str">
        <f>IFERROR(__xludf.DUMMYFUNCTION("""COMPUTED_VALUE"""),"-")</f>
        <v>-</v>
      </c>
      <c r="R57" s="4" t="str">
        <f>IFERROR(__xludf.DUMMYFUNCTION("""COMPUTED_VALUE"""),"")</f>
        <v/>
      </c>
      <c r="Y57" s="3"/>
      <c r="Z57" s="3"/>
      <c r="AA57" s="3"/>
      <c r="AB57" s="3"/>
    </row>
    <row r="58">
      <c r="A58" s="4"/>
      <c r="B58" s="4"/>
      <c r="C58" s="4"/>
      <c r="D58" s="4"/>
      <c r="E58" s="4"/>
      <c r="F58" s="4"/>
      <c r="G58" s="4"/>
      <c r="H58" s="4"/>
      <c r="I58" s="4"/>
      <c r="J58" s="4"/>
      <c r="K58" s="4"/>
      <c r="L58" s="4"/>
      <c r="M58" s="4"/>
      <c r="N58" s="4"/>
      <c r="O58" s="4"/>
      <c r="P58" s="4"/>
      <c r="Q58" s="4" t="str">
        <f>IFERROR(__xludf.DUMMYFUNCTION("""COMPUTED_VALUE"""),"-")</f>
        <v>-</v>
      </c>
      <c r="R58" s="4" t="str">
        <f>IFERROR(__xludf.DUMMYFUNCTION("""COMPUTED_VALUE"""),"")</f>
        <v/>
      </c>
      <c r="Y58" s="3"/>
      <c r="Z58" s="3"/>
      <c r="AA58" s="3"/>
      <c r="AB58" s="3"/>
    </row>
    <row r="59">
      <c r="A59" s="4"/>
      <c r="B59" s="4"/>
      <c r="C59" s="4"/>
      <c r="D59" s="4"/>
      <c r="E59" s="4"/>
      <c r="F59" s="4"/>
      <c r="G59" s="4"/>
      <c r="H59" s="4"/>
      <c r="I59" s="4"/>
      <c r="J59" s="4"/>
      <c r="K59" s="4"/>
      <c r="L59" s="4"/>
      <c r="M59" s="4"/>
      <c r="N59" s="4"/>
      <c r="O59" s="4"/>
      <c r="P59" s="4"/>
      <c r="Q59" s="4" t="str">
        <f>IFERROR(__xludf.DUMMYFUNCTION("""COMPUTED_VALUE"""),"-")</f>
        <v>-</v>
      </c>
      <c r="R59" s="4" t="str">
        <f>IFERROR(__xludf.DUMMYFUNCTION("""COMPUTED_VALUE"""),"")</f>
        <v/>
      </c>
      <c r="Y59" s="3"/>
      <c r="Z59" s="3"/>
      <c r="AA59" s="3"/>
      <c r="AB59" s="3"/>
    </row>
    <row r="60">
      <c r="A60" s="4"/>
      <c r="B60" s="4"/>
      <c r="C60" s="4"/>
      <c r="D60" s="4"/>
      <c r="E60" s="4"/>
      <c r="F60" s="4"/>
      <c r="G60" s="4"/>
      <c r="H60" s="4"/>
      <c r="I60" s="4"/>
      <c r="J60" s="4"/>
      <c r="K60" s="4"/>
      <c r="L60" s="4"/>
      <c r="M60" s="4"/>
      <c r="N60" s="4"/>
      <c r="O60" s="4"/>
      <c r="P60" s="4"/>
      <c r="Q60" s="4" t="str">
        <f>IFERROR(__xludf.DUMMYFUNCTION("""COMPUTED_VALUE"""),"-")</f>
        <v>-</v>
      </c>
      <c r="R60" s="4" t="str">
        <f>IFERROR(__xludf.DUMMYFUNCTION("""COMPUTED_VALUE"""),"")</f>
        <v/>
      </c>
      <c r="Y60" s="3"/>
      <c r="Z60" s="3"/>
      <c r="AA60" s="3"/>
      <c r="AB60" s="3"/>
    </row>
    <row r="61">
      <c r="A61" s="4"/>
      <c r="B61" s="4"/>
      <c r="C61" s="4"/>
      <c r="D61" s="4"/>
      <c r="E61" s="4"/>
      <c r="F61" s="4"/>
      <c r="G61" s="4"/>
      <c r="H61" s="4"/>
      <c r="I61" s="4"/>
      <c r="J61" s="4"/>
      <c r="K61" s="4"/>
      <c r="L61" s="4"/>
      <c r="M61" s="4"/>
      <c r="N61" s="4"/>
      <c r="O61" s="4"/>
      <c r="P61" s="4"/>
      <c r="Q61" s="4" t="str">
        <f>IFERROR(__xludf.DUMMYFUNCTION("""COMPUTED_VALUE"""),"-")</f>
        <v>-</v>
      </c>
      <c r="R61" s="4" t="str">
        <f>IFERROR(__xludf.DUMMYFUNCTION("""COMPUTED_VALUE"""),"")</f>
        <v/>
      </c>
      <c r="Y61" s="3"/>
      <c r="Z61" s="3"/>
      <c r="AA61" s="3"/>
      <c r="AB61" s="3"/>
    </row>
    <row r="62">
      <c r="A62" s="4"/>
      <c r="B62" s="4"/>
      <c r="C62" s="4"/>
      <c r="D62" s="4"/>
      <c r="E62" s="4"/>
      <c r="F62" s="4"/>
      <c r="G62" s="4"/>
      <c r="H62" s="4"/>
      <c r="I62" s="4"/>
      <c r="J62" s="4"/>
      <c r="K62" s="4"/>
      <c r="L62" s="4"/>
      <c r="M62" s="4"/>
      <c r="N62" s="4"/>
      <c r="O62" s="4"/>
      <c r="P62" s="4"/>
      <c r="Q62" s="4" t="str">
        <f>IFERROR(__xludf.DUMMYFUNCTION("""COMPUTED_VALUE"""),"-")</f>
        <v>-</v>
      </c>
      <c r="R62" s="4" t="str">
        <f>IFERROR(__xludf.DUMMYFUNCTION("""COMPUTED_VALUE"""),"")</f>
        <v/>
      </c>
      <c r="Y62" s="3"/>
      <c r="Z62" s="3"/>
      <c r="AA62" s="3"/>
      <c r="AB62" s="3"/>
    </row>
    <row r="63">
      <c r="A63" s="4"/>
      <c r="B63" s="4"/>
      <c r="C63" s="4"/>
      <c r="D63" s="4"/>
      <c r="E63" s="4"/>
      <c r="F63" s="4"/>
      <c r="G63" s="4"/>
      <c r="H63" s="4"/>
      <c r="I63" s="4"/>
      <c r="J63" s="4"/>
      <c r="K63" s="4"/>
      <c r="L63" s="4"/>
      <c r="M63" s="4"/>
      <c r="N63" s="4"/>
      <c r="O63" s="4"/>
      <c r="P63" s="4"/>
      <c r="Q63" s="4" t="str">
        <f>IFERROR(__xludf.DUMMYFUNCTION("""COMPUTED_VALUE"""),"-")</f>
        <v>-</v>
      </c>
      <c r="R63" s="4" t="str">
        <f>IFERROR(__xludf.DUMMYFUNCTION("""COMPUTED_VALUE"""),"")</f>
        <v/>
      </c>
      <c r="Y63" s="3"/>
      <c r="Z63" s="3"/>
      <c r="AA63" s="3"/>
      <c r="AB63" s="3"/>
    </row>
    <row r="64">
      <c r="A64" s="4"/>
      <c r="B64" s="4"/>
      <c r="C64" s="4"/>
      <c r="D64" s="4"/>
      <c r="E64" s="4"/>
      <c r="F64" s="4"/>
      <c r="G64" s="4"/>
      <c r="H64" s="4"/>
      <c r="I64" s="4"/>
      <c r="J64" s="4"/>
      <c r="K64" s="4"/>
      <c r="L64" s="4"/>
      <c r="M64" s="4"/>
      <c r="N64" s="4"/>
      <c r="O64" s="4"/>
      <c r="P64" s="4"/>
      <c r="Q64" s="4" t="str">
        <f>IFERROR(__xludf.DUMMYFUNCTION("""COMPUTED_VALUE"""),"-")</f>
        <v>-</v>
      </c>
      <c r="R64" s="4" t="str">
        <f>IFERROR(__xludf.DUMMYFUNCTION("""COMPUTED_VALUE"""),"")</f>
        <v/>
      </c>
      <c r="Y64" s="3"/>
      <c r="Z64" s="3"/>
      <c r="AA64" s="3"/>
      <c r="AB64" s="3"/>
    </row>
    <row r="65">
      <c r="A65" s="4"/>
      <c r="B65" s="4"/>
      <c r="C65" s="4"/>
      <c r="D65" s="4"/>
      <c r="E65" s="4"/>
      <c r="F65" s="4"/>
      <c r="G65" s="4"/>
      <c r="H65" s="4"/>
      <c r="I65" s="4"/>
      <c r="J65" s="4"/>
      <c r="K65" s="4"/>
      <c r="L65" s="4"/>
      <c r="M65" s="4"/>
      <c r="N65" s="4"/>
      <c r="O65" s="4"/>
      <c r="P65" s="4"/>
      <c r="Q65" s="4" t="str">
        <f>IFERROR(__xludf.DUMMYFUNCTION("""COMPUTED_VALUE"""),"-")</f>
        <v>-</v>
      </c>
      <c r="R65" s="4" t="str">
        <f>IFERROR(__xludf.DUMMYFUNCTION("""COMPUTED_VALUE"""),"")</f>
        <v/>
      </c>
      <c r="Y65" s="3"/>
      <c r="Z65" s="3"/>
      <c r="AA65" s="3"/>
      <c r="AB65" s="3"/>
    </row>
    <row r="66">
      <c r="A66" s="4"/>
      <c r="B66" s="4"/>
      <c r="C66" s="4"/>
      <c r="D66" s="4"/>
      <c r="E66" s="4"/>
      <c r="F66" s="4"/>
      <c r="G66" s="4"/>
      <c r="H66" s="4"/>
      <c r="I66" s="4"/>
      <c r="J66" s="4"/>
      <c r="K66" s="4"/>
      <c r="L66" s="4"/>
      <c r="M66" s="4"/>
      <c r="N66" s="4"/>
      <c r="O66" s="4"/>
      <c r="P66" s="4"/>
      <c r="Q66" s="4" t="str">
        <f>IFERROR(__xludf.DUMMYFUNCTION("""COMPUTED_VALUE"""),"-")</f>
        <v>-</v>
      </c>
      <c r="R66" s="4" t="str">
        <f>IFERROR(__xludf.DUMMYFUNCTION("""COMPUTED_VALUE"""),"")</f>
        <v/>
      </c>
      <c r="Y66" s="3"/>
      <c r="Z66" s="3"/>
      <c r="AA66" s="3"/>
      <c r="AB66" s="3"/>
    </row>
    <row r="67">
      <c r="A67" s="4"/>
      <c r="B67" s="4"/>
      <c r="C67" s="4"/>
      <c r="D67" s="4"/>
      <c r="E67" s="4"/>
      <c r="F67" s="4"/>
      <c r="G67" s="4"/>
      <c r="H67" s="4"/>
      <c r="I67" s="4"/>
      <c r="J67" s="4"/>
      <c r="K67" s="4"/>
      <c r="L67" s="4"/>
      <c r="M67" s="4"/>
      <c r="N67" s="4"/>
      <c r="O67" s="4"/>
      <c r="P67" s="4"/>
      <c r="Q67" s="4" t="str">
        <f>IFERROR(__xludf.DUMMYFUNCTION("""COMPUTED_VALUE"""),"-")</f>
        <v>-</v>
      </c>
      <c r="R67" s="4" t="str">
        <f>IFERROR(__xludf.DUMMYFUNCTION("""COMPUTED_VALUE"""),"")</f>
        <v/>
      </c>
      <c r="Y67" s="3"/>
      <c r="Z67" s="3"/>
      <c r="AA67" s="3"/>
      <c r="AB67" s="3"/>
    </row>
    <row r="68">
      <c r="A68" s="4"/>
      <c r="B68" s="4"/>
      <c r="C68" s="4"/>
      <c r="D68" s="4"/>
      <c r="E68" s="4"/>
      <c r="F68" s="4"/>
      <c r="G68" s="4"/>
      <c r="H68" s="4"/>
      <c r="I68" s="4"/>
      <c r="J68" s="4"/>
      <c r="K68" s="4"/>
      <c r="L68" s="4"/>
      <c r="M68" s="4"/>
      <c r="N68" s="4"/>
      <c r="O68" s="4"/>
      <c r="P68" s="4"/>
      <c r="Q68" s="4" t="str">
        <f>IFERROR(__xludf.DUMMYFUNCTION("""COMPUTED_VALUE"""),"-")</f>
        <v>-</v>
      </c>
      <c r="R68" s="4" t="str">
        <f>IFERROR(__xludf.DUMMYFUNCTION("""COMPUTED_VALUE"""),"")</f>
        <v/>
      </c>
      <c r="Y68" s="3"/>
      <c r="Z68" s="3"/>
      <c r="AA68" s="3"/>
      <c r="AB68" s="3"/>
    </row>
    <row r="69">
      <c r="A69" s="4"/>
      <c r="B69" s="4"/>
      <c r="C69" s="4"/>
      <c r="D69" s="4"/>
      <c r="E69" s="4"/>
      <c r="F69" s="4"/>
      <c r="G69" s="4"/>
      <c r="H69" s="4"/>
      <c r="I69" s="4"/>
      <c r="J69" s="4"/>
      <c r="K69" s="4"/>
      <c r="L69" s="4"/>
      <c r="M69" s="4"/>
      <c r="N69" s="4"/>
      <c r="O69" s="4"/>
      <c r="P69" s="4"/>
      <c r="Q69" s="4" t="str">
        <f>IFERROR(__xludf.DUMMYFUNCTION("""COMPUTED_VALUE"""),"-")</f>
        <v>-</v>
      </c>
      <c r="R69" s="4" t="str">
        <f>IFERROR(__xludf.DUMMYFUNCTION("""COMPUTED_VALUE"""),"")</f>
        <v/>
      </c>
      <c r="Y69" s="3"/>
      <c r="Z69" s="3"/>
      <c r="AA69" s="3"/>
      <c r="AB69" s="3"/>
    </row>
    <row r="70">
      <c r="A70" s="4"/>
      <c r="B70" s="4"/>
      <c r="C70" s="4"/>
      <c r="D70" s="4"/>
      <c r="E70" s="4"/>
      <c r="F70" s="4"/>
      <c r="G70" s="4"/>
      <c r="H70" s="4"/>
      <c r="I70" s="4"/>
      <c r="J70" s="4"/>
      <c r="K70" s="4"/>
      <c r="L70" s="4"/>
      <c r="M70" s="4"/>
      <c r="N70" s="4"/>
      <c r="O70" s="4"/>
      <c r="P70" s="4"/>
      <c r="Q70" s="4" t="str">
        <f>IFERROR(__xludf.DUMMYFUNCTION("""COMPUTED_VALUE"""),"-")</f>
        <v>-</v>
      </c>
      <c r="R70" s="4" t="str">
        <f>IFERROR(__xludf.DUMMYFUNCTION("""COMPUTED_VALUE"""),"")</f>
        <v/>
      </c>
      <c r="Y70" s="3"/>
      <c r="Z70" s="3"/>
      <c r="AA70" s="3"/>
      <c r="AB70" s="3"/>
    </row>
    <row r="71">
      <c r="A71" s="4"/>
      <c r="B71" s="4"/>
      <c r="C71" s="4"/>
      <c r="D71" s="4"/>
      <c r="E71" s="4"/>
      <c r="F71" s="4"/>
      <c r="G71" s="4"/>
      <c r="H71" s="4"/>
      <c r="I71" s="4"/>
      <c r="J71" s="4"/>
      <c r="K71" s="4"/>
      <c r="L71" s="4"/>
      <c r="M71" s="4"/>
      <c r="N71" s="4"/>
      <c r="O71" s="4"/>
      <c r="P71" s="4"/>
      <c r="Q71" s="4" t="str">
        <f>IFERROR(__xludf.DUMMYFUNCTION("""COMPUTED_VALUE"""),"-")</f>
        <v>-</v>
      </c>
      <c r="R71" s="4" t="str">
        <f>IFERROR(__xludf.DUMMYFUNCTION("""COMPUTED_VALUE"""),"")</f>
        <v/>
      </c>
      <c r="Y71" s="3"/>
      <c r="Z71" s="3"/>
      <c r="AA71" s="3"/>
      <c r="AB71" s="3"/>
    </row>
    <row r="72">
      <c r="A72" s="4"/>
      <c r="B72" s="4"/>
      <c r="C72" s="4"/>
      <c r="D72" s="4"/>
      <c r="E72" s="4"/>
      <c r="F72" s="4"/>
      <c r="G72" s="4"/>
      <c r="H72" s="4"/>
      <c r="I72" s="4"/>
      <c r="J72" s="4"/>
      <c r="K72" s="4"/>
      <c r="L72" s="4"/>
      <c r="M72" s="4"/>
      <c r="N72" s="4"/>
      <c r="O72" s="4"/>
      <c r="P72" s="4"/>
      <c r="Q72" s="4" t="str">
        <f>IFERROR(__xludf.DUMMYFUNCTION("""COMPUTED_VALUE"""),"-")</f>
        <v>-</v>
      </c>
      <c r="R72" s="4" t="str">
        <f>IFERROR(__xludf.DUMMYFUNCTION("""COMPUTED_VALUE"""),"")</f>
        <v/>
      </c>
      <c r="Y72" s="3"/>
      <c r="Z72" s="3"/>
      <c r="AA72" s="3"/>
      <c r="AB72" s="3"/>
    </row>
    <row r="73">
      <c r="A73" s="4"/>
      <c r="B73" s="4"/>
      <c r="C73" s="4"/>
      <c r="D73" s="4"/>
      <c r="E73" s="4"/>
      <c r="F73" s="4"/>
      <c r="G73" s="4"/>
      <c r="H73" s="4"/>
      <c r="I73" s="4"/>
      <c r="J73" s="4"/>
      <c r="K73" s="4"/>
      <c r="L73" s="4"/>
      <c r="M73" s="4"/>
      <c r="N73" s="4"/>
      <c r="O73" s="4"/>
      <c r="P73" s="4"/>
      <c r="Q73" s="4" t="str">
        <f>IFERROR(__xludf.DUMMYFUNCTION("""COMPUTED_VALUE"""),"-")</f>
        <v>-</v>
      </c>
      <c r="R73" s="4" t="str">
        <f>IFERROR(__xludf.DUMMYFUNCTION("""COMPUTED_VALUE"""),"")</f>
        <v/>
      </c>
      <c r="Y73" s="3"/>
      <c r="Z73" s="3"/>
      <c r="AA73" s="3"/>
      <c r="AB73" s="3"/>
    </row>
    <row r="74">
      <c r="A74" s="4"/>
      <c r="B74" s="4"/>
      <c r="C74" s="4"/>
      <c r="D74" s="4"/>
      <c r="E74" s="4"/>
      <c r="F74" s="4"/>
      <c r="G74" s="4"/>
      <c r="H74" s="4"/>
      <c r="I74" s="4"/>
      <c r="J74" s="4"/>
      <c r="K74" s="4"/>
      <c r="L74" s="4"/>
      <c r="M74" s="4"/>
      <c r="N74" s="4"/>
      <c r="O74" s="4"/>
      <c r="P74" s="4"/>
      <c r="Q74" s="4" t="str">
        <f>IFERROR(__xludf.DUMMYFUNCTION("""COMPUTED_VALUE"""),"-")</f>
        <v>-</v>
      </c>
      <c r="R74" s="4" t="str">
        <f>IFERROR(__xludf.DUMMYFUNCTION("""COMPUTED_VALUE"""),"")</f>
        <v/>
      </c>
      <c r="Y74" s="3"/>
      <c r="Z74" s="3"/>
      <c r="AA74" s="3"/>
      <c r="AB74" s="3"/>
    </row>
    <row r="75">
      <c r="A75" s="4"/>
      <c r="B75" s="4"/>
      <c r="C75" s="4"/>
      <c r="D75" s="4"/>
      <c r="E75" s="4"/>
      <c r="F75" s="4"/>
      <c r="G75" s="4"/>
      <c r="H75" s="4"/>
      <c r="I75" s="4"/>
      <c r="J75" s="4"/>
      <c r="K75" s="4"/>
      <c r="L75" s="4"/>
      <c r="M75" s="4"/>
      <c r="N75" s="4"/>
      <c r="O75" s="4"/>
      <c r="P75" s="4"/>
      <c r="Q75" s="4" t="str">
        <f>IFERROR(__xludf.DUMMYFUNCTION("""COMPUTED_VALUE"""),"-")</f>
        <v>-</v>
      </c>
      <c r="R75" s="4" t="str">
        <f>IFERROR(__xludf.DUMMYFUNCTION("""COMPUTED_VALUE"""),"")</f>
        <v/>
      </c>
      <c r="Y75" s="3"/>
      <c r="Z75" s="3"/>
      <c r="AA75" s="3"/>
      <c r="AB75" s="3"/>
    </row>
    <row r="76">
      <c r="A76" s="4"/>
      <c r="B76" s="4"/>
      <c r="C76" s="4"/>
      <c r="D76" s="4"/>
      <c r="E76" s="4"/>
      <c r="F76" s="4"/>
      <c r="G76" s="4"/>
      <c r="H76" s="4"/>
      <c r="I76" s="4"/>
      <c r="J76" s="4"/>
      <c r="K76" s="4"/>
      <c r="L76" s="4"/>
      <c r="M76" s="4"/>
      <c r="N76" s="4"/>
      <c r="O76" s="4"/>
      <c r="P76" s="4"/>
      <c r="Q76" s="4" t="str">
        <f>IFERROR(__xludf.DUMMYFUNCTION("""COMPUTED_VALUE"""),"-")</f>
        <v>-</v>
      </c>
      <c r="R76" s="4" t="str">
        <f>IFERROR(__xludf.DUMMYFUNCTION("""COMPUTED_VALUE"""),"")</f>
        <v/>
      </c>
      <c r="Y76" s="3"/>
      <c r="Z76" s="3"/>
      <c r="AA76" s="3"/>
      <c r="AB76" s="3"/>
    </row>
    <row r="77">
      <c r="A77" s="4"/>
      <c r="B77" s="4"/>
      <c r="C77" s="4"/>
      <c r="D77" s="4"/>
      <c r="E77" s="4"/>
      <c r="F77" s="4"/>
      <c r="G77" s="4"/>
      <c r="H77" s="4"/>
      <c r="I77" s="4"/>
      <c r="J77" s="4"/>
      <c r="K77" s="4"/>
      <c r="L77" s="4"/>
      <c r="M77" s="4"/>
      <c r="N77" s="4"/>
      <c r="O77" s="4"/>
      <c r="P77" s="4"/>
      <c r="Q77" s="4" t="str">
        <f>IFERROR(__xludf.DUMMYFUNCTION("""COMPUTED_VALUE"""),"-")</f>
        <v>-</v>
      </c>
      <c r="R77" s="4" t="str">
        <f>IFERROR(__xludf.DUMMYFUNCTION("""COMPUTED_VALUE"""),"")</f>
        <v/>
      </c>
      <c r="Y77" s="3"/>
      <c r="Z77" s="3"/>
      <c r="AA77" s="3"/>
      <c r="AB77" s="3"/>
    </row>
    <row r="78">
      <c r="A78" s="4"/>
      <c r="B78" s="4"/>
      <c r="C78" s="4"/>
      <c r="D78" s="4"/>
      <c r="E78" s="4"/>
      <c r="F78" s="4"/>
      <c r="G78" s="4"/>
      <c r="H78" s="4"/>
      <c r="I78" s="4"/>
      <c r="J78" s="4"/>
      <c r="K78" s="4"/>
      <c r="L78" s="4"/>
      <c r="M78" s="4"/>
      <c r="N78" s="4"/>
      <c r="O78" s="4"/>
      <c r="P78" s="4"/>
      <c r="Q78" s="4" t="str">
        <f>IFERROR(__xludf.DUMMYFUNCTION("""COMPUTED_VALUE"""),"-")</f>
        <v>-</v>
      </c>
      <c r="R78" s="4" t="str">
        <f>IFERROR(__xludf.DUMMYFUNCTION("""COMPUTED_VALUE"""),"")</f>
        <v/>
      </c>
      <c r="Y78" s="3"/>
      <c r="Z78" s="3"/>
      <c r="AA78" s="3"/>
      <c r="AB78" s="3"/>
    </row>
    <row r="79">
      <c r="A79" s="4"/>
      <c r="B79" s="4"/>
      <c r="C79" s="4"/>
      <c r="D79" s="4"/>
      <c r="E79" s="4"/>
      <c r="F79" s="4"/>
      <c r="G79" s="4"/>
      <c r="H79" s="4"/>
      <c r="I79" s="4"/>
      <c r="J79" s="4"/>
      <c r="K79" s="4"/>
      <c r="L79" s="4"/>
      <c r="M79" s="4"/>
      <c r="N79" s="4"/>
      <c r="O79" s="4"/>
      <c r="P79" s="4"/>
      <c r="Q79" s="4" t="str">
        <f>IFERROR(__xludf.DUMMYFUNCTION("""COMPUTED_VALUE"""),"-")</f>
        <v>-</v>
      </c>
      <c r="R79" s="4" t="str">
        <f>IFERROR(__xludf.DUMMYFUNCTION("""COMPUTED_VALUE"""),"")</f>
        <v/>
      </c>
      <c r="Y79" s="3"/>
      <c r="Z79" s="3"/>
      <c r="AA79" s="3"/>
      <c r="AB79" s="3"/>
    </row>
    <row r="80">
      <c r="A80" s="4"/>
      <c r="B80" s="4"/>
      <c r="C80" s="4"/>
      <c r="D80" s="4"/>
      <c r="E80" s="4"/>
      <c r="F80" s="4"/>
      <c r="G80" s="4"/>
      <c r="H80" s="4"/>
      <c r="I80" s="4"/>
      <c r="J80" s="4"/>
      <c r="K80" s="4"/>
      <c r="L80" s="4"/>
      <c r="M80" s="4"/>
      <c r="N80" s="4"/>
      <c r="O80" s="4"/>
      <c r="P80" s="4"/>
      <c r="Q80" s="4" t="str">
        <f>IFERROR(__xludf.DUMMYFUNCTION("""COMPUTED_VALUE"""),"-")</f>
        <v>-</v>
      </c>
      <c r="R80" s="4" t="str">
        <f>IFERROR(__xludf.DUMMYFUNCTION("""COMPUTED_VALUE"""),"")</f>
        <v/>
      </c>
      <c r="Y80" s="3"/>
      <c r="Z80" s="3"/>
      <c r="AA80" s="3"/>
      <c r="AB80" s="3"/>
    </row>
    <row r="81">
      <c r="A81" s="4"/>
      <c r="B81" s="4"/>
      <c r="C81" s="4"/>
      <c r="D81" s="4"/>
      <c r="E81" s="4"/>
      <c r="F81" s="4"/>
      <c r="G81" s="4"/>
      <c r="H81" s="4"/>
      <c r="I81" s="4"/>
      <c r="J81" s="4"/>
      <c r="K81" s="4"/>
      <c r="L81" s="4"/>
      <c r="M81" s="4"/>
      <c r="N81" s="4"/>
      <c r="O81" s="4"/>
      <c r="P81" s="4"/>
      <c r="Q81" s="4" t="str">
        <f>IFERROR(__xludf.DUMMYFUNCTION("""COMPUTED_VALUE"""),"-")</f>
        <v>-</v>
      </c>
      <c r="R81" s="4" t="str">
        <f>IFERROR(__xludf.DUMMYFUNCTION("""COMPUTED_VALUE"""),"")</f>
        <v/>
      </c>
      <c r="Y81" s="3"/>
      <c r="Z81" s="3"/>
      <c r="AA81" s="3"/>
      <c r="AB81" s="3"/>
    </row>
    <row r="82">
      <c r="A82" s="4"/>
      <c r="B82" s="4"/>
      <c r="C82" s="4"/>
      <c r="D82" s="4"/>
      <c r="E82" s="4"/>
      <c r="F82" s="4"/>
      <c r="G82" s="4"/>
      <c r="H82" s="4"/>
      <c r="I82" s="4"/>
      <c r="J82" s="4"/>
      <c r="K82" s="4"/>
      <c r="L82" s="4"/>
      <c r="M82" s="4"/>
      <c r="N82" s="4"/>
      <c r="O82" s="4"/>
      <c r="P82" s="4"/>
      <c r="Q82" s="4" t="str">
        <f>IFERROR(__xludf.DUMMYFUNCTION("""COMPUTED_VALUE"""),"-")</f>
        <v>-</v>
      </c>
      <c r="R82" s="4" t="str">
        <f>IFERROR(__xludf.DUMMYFUNCTION("""COMPUTED_VALUE"""),"")</f>
        <v/>
      </c>
      <c r="Y82" s="3"/>
      <c r="Z82" s="3"/>
      <c r="AA82" s="3"/>
      <c r="AB82" s="3"/>
    </row>
    <row r="83">
      <c r="A83" s="4"/>
      <c r="B83" s="4"/>
      <c r="C83" s="4"/>
      <c r="D83" s="4"/>
      <c r="E83" s="4"/>
      <c r="F83" s="4"/>
      <c r="G83" s="4"/>
      <c r="H83" s="4"/>
      <c r="I83" s="4"/>
      <c r="J83" s="4"/>
      <c r="K83" s="4"/>
      <c r="L83" s="4"/>
      <c r="M83" s="4"/>
      <c r="N83" s="4"/>
      <c r="O83" s="4"/>
      <c r="P83" s="4"/>
      <c r="Q83" s="4" t="str">
        <f>IFERROR(__xludf.DUMMYFUNCTION("""COMPUTED_VALUE"""),"-")</f>
        <v>-</v>
      </c>
      <c r="R83" s="4" t="str">
        <f>IFERROR(__xludf.DUMMYFUNCTION("""COMPUTED_VALUE"""),"")</f>
        <v/>
      </c>
      <c r="Y83" s="3"/>
      <c r="Z83" s="3"/>
      <c r="AA83" s="3"/>
      <c r="AB83" s="3"/>
    </row>
    <row r="84">
      <c r="A84" s="4"/>
      <c r="B84" s="4"/>
      <c r="C84" s="4"/>
      <c r="D84" s="4"/>
      <c r="E84" s="4"/>
      <c r="F84" s="4"/>
      <c r="G84" s="4"/>
      <c r="H84" s="4"/>
      <c r="I84" s="4"/>
      <c r="J84" s="4"/>
      <c r="K84" s="4"/>
      <c r="L84" s="4"/>
      <c r="M84" s="4"/>
      <c r="N84" s="4"/>
      <c r="O84" s="4"/>
      <c r="P84" s="4"/>
      <c r="Q84" s="4" t="str">
        <f>IFERROR(__xludf.DUMMYFUNCTION("""COMPUTED_VALUE"""),"-")</f>
        <v>-</v>
      </c>
      <c r="R84" s="4" t="str">
        <f>IFERROR(__xludf.DUMMYFUNCTION("""COMPUTED_VALUE"""),"")</f>
        <v/>
      </c>
      <c r="Y84" s="3"/>
      <c r="Z84" s="3"/>
      <c r="AA84" s="3"/>
      <c r="AB84" s="3"/>
    </row>
    <row r="85">
      <c r="A85" s="4"/>
      <c r="B85" s="4"/>
      <c r="C85" s="4"/>
      <c r="D85" s="4"/>
      <c r="E85" s="4"/>
      <c r="F85" s="4"/>
      <c r="G85" s="4"/>
      <c r="H85" s="4"/>
      <c r="I85" s="4"/>
      <c r="J85" s="4"/>
      <c r="K85" s="4"/>
      <c r="L85" s="4"/>
      <c r="M85" s="4"/>
      <c r="N85" s="4"/>
      <c r="O85" s="4"/>
      <c r="P85" s="4"/>
      <c r="Q85" s="4" t="str">
        <f>IFERROR(__xludf.DUMMYFUNCTION("""COMPUTED_VALUE"""),"-")</f>
        <v>-</v>
      </c>
      <c r="R85" s="4" t="str">
        <f>IFERROR(__xludf.DUMMYFUNCTION("""COMPUTED_VALUE"""),"")</f>
        <v/>
      </c>
      <c r="Y85" s="3"/>
      <c r="Z85" s="3"/>
      <c r="AA85" s="3"/>
      <c r="AB85" s="3"/>
    </row>
    <row r="86">
      <c r="A86" s="4"/>
      <c r="B86" s="4"/>
      <c r="C86" s="4"/>
      <c r="D86" s="4"/>
      <c r="E86" s="4"/>
      <c r="F86" s="4"/>
      <c r="G86" s="4"/>
      <c r="H86" s="4"/>
      <c r="I86" s="4"/>
      <c r="J86" s="4"/>
      <c r="K86" s="4"/>
      <c r="L86" s="4"/>
      <c r="M86" s="4"/>
      <c r="N86" s="4"/>
      <c r="O86" s="4"/>
      <c r="P86" s="4"/>
      <c r="Q86" s="4" t="str">
        <f>IFERROR(__xludf.DUMMYFUNCTION("""COMPUTED_VALUE"""),"-")</f>
        <v>-</v>
      </c>
      <c r="R86" s="4" t="str">
        <f>IFERROR(__xludf.DUMMYFUNCTION("""COMPUTED_VALUE"""),"")</f>
        <v/>
      </c>
      <c r="Y86" s="3"/>
      <c r="Z86" s="3"/>
      <c r="AA86" s="3"/>
      <c r="AB86" s="3"/>
    </row>
    <row r="87">
      <c r="A87" s="4"/>
      <c r="B87" s="4"/>
      <c r="C87" s="4"/>
      <c r="D87" s="4"/>
      <c r="E87" s="4"/>
      <c r="F87" s="4"/>
      <c r="G87" s="4"/>
      <c r="H87" s="4"/>
      <c r="I87" s="4"/>
      <c r="J87" s="4"/>
      <c r="K87" s="4"/>
      <c r="L87" s="4"/>
      <c r="M87" s="4"/>
      <c r="N87" s="4"/>
      <c r="O87" s="4"/>
      <c r="P87" s="4"/>
      <c r="Q87" s="4" t="str">
        <f>IFERROR(__xludf.DUMMYFUNCTION("""COMPUTED_VALUE"""),"-")</f>
        <v>-</v>
      </c>
      <c r="R87" s="4" t="str">
        <f>IFERROR(__xludf.DUMMYFUNCTION("""COMPUTED_VALUE"""),"")</f>
        <v/>
      </c>
      <c r="Y87" s="3"/>
      <c r="Z87" s="3"/>
      <c r="AA87" s="3"/>
      <c r="AB87" s="3"/>
    </row>
    <row r="88">
      <c r="A88" s="4"/>
      <c r="B88" s="4"/>
      <c r="C88" s="4"/>
      <c r="D88" s="4"/>
      <c r="E88" s="4"/>
      <c r="F88" s="4"/>
      <c r="G88" s="4"/>
      <c r="H88" s="4"/>
      <c r="I88" s="4"/>
      <c r="J88" s="4"/>
      <c r="K88" s="4"/>
      <c r="L88" s="4"/>
      <c r="M88" s="4"/>
      <c r="N88" s="4"/>
      <c r="O88" s="4"/>
      <c r="P88" s="4"/>
      <c r="Q88" s="4" t="str">
        <f>IFERROR(__xludf.DUMMYFUNCTION("""COMPUTED_VALUE"""),"-")</f>
        <v>-</v>
      </c>
      <c r="R88" s="4" t="str">
        <f>IFERROR(__xludf.DUMMYFUNCTION("""COMPUTED_VALUE"""),"")</f>
        <v/>
      </c>
      <c r="Y88" s="3"/>
      <c r="Z88" s="3"/>
      <c r="AA88" s="3"/>
      <c r="AB88" s="3"/>
    </row>
    <row r="89">
      <c r="A89" s="4"/>
      <c r="B89" s="4"/>
      <c r="C89" s="4"/>
      <c r="D89" s="4"/>
      <c r="E89" s="4"/>
      <c r="F89" s="4"/>
      <c r="G89" s="4"/>
      <c r="H89" s="4"/>
      <c r="I89" s="4"/>
      <c r="J89" s="4"/>
      <c r="K89" s="4"/>
      <c r="L89" s="4"/>
      <c r="M89" s="4"/>
      <c r="N89" s="4"/>
      <c r="O89" s="4"/>
      <c r="P89" s="4"/>
      <c r="Q89" s="4" t="str">
        <f>IFERROR(__xludf.DUMMYFUNCTION("""COMPUTED_VALUE"""),"-")</f>
        <v>-</v>
      </c>
      <c r="R89" s="4" t="str">
        <f>IFERROR(__xludf.DUMMYFUNCTION("""COMPUTED_VALUE"""),"")</f>
        <v/>
      </c>
      <c r="Y89" s="3"/>
      <c r="Z89" s="3"/>
      <c r="AA89" s="3"/>
      <c r="AB89" s="3"/>
    </row>
    <row r="90">
      <c r="A90" s="4"/>
      <c r="B90" s="4"/>
      <c r="C90" s="4"/>
      <c r="D90" s="4"/>
      <c r="E90" s="4"/>
      <c r="F90" s="4"/>
      <c r="G90" s="4"/>
      <c r="H90" s="4"/>
      <c r="I90" s="4"/>
      <c r="J90" s="4"/>
      <c r="K90" s="4"/>
      <c r="L90" s="4"/>
      <c r="M90" s="4"/>
      <c r="N90" s="4"/>
      <c r="O90" s="4"/>
      <c r="P90" s="4"/>
      <c r="Q90" s="4" t="str">
        <f>IFERROR(__xludf.DUMMYFUNCTION("""COMPUTED_VALUE"""),"-")</f>
        <v>-</v>
      </c>
      <c r="R90" s="4" t="str">
        <f>IFERROR(__xludf.DUMMYFUNCTION("""COMPUTED_VALUE"""),"")</f>
        <v/>
      </c>
      <c r="Y90" s="3"/>
      <c r="Z90" s="3"/>
      <c r="AA90" s="3"/>
      <c r="AB90" s="3"/>
    </row>
    <row r="91">
      <c r="A91" s="4"/>
      <c r="B91" s="4"/>
      <c r="C91" s="4"/>
      <c r="D91" s="4"/>
      <c r="E91" s="4"/>
      <c r="F91" s="4"/>
      <c r="G91" s="4"/>
      <c r="H91" s="4"/>
      <c r="I91" s="4"/>
      <c r="J91" s="4"/>
      <c r="K91" s="4"/>
      <c r="L91" s="4"/>
      <c r="M91" s="4"/>
      <c r="N91" s="4"/>
      <c r="O91" s="4"/>
      <c r="P91" s="4"/>
      <c r="Q91" s="4" t="str">
        <f>IFERROR(__xludf.DUMMYFUNCTION("""COMPUTED_VALUE"""),"-")</f>
        <v>-</v>
      </c>
      <c r="R91" s="4" t="str">
        <f>IFERROR(__xludf.DUMMYFUNCTION("""COMPUTED_VALUE"""),"")</f>
        <v/>
      </c>
      <c r="Y91" s="3"/>
      <c r="Z91" s="3"/>
      <c r="AA91" s="3"/>
      <c r="AB91" s="3"/>
    </row>
    <row r="92">
      <c r="A92" s="4"/>
      <c r="B92" s="4"/>
      <c r="C92" s="4"/>
      <c r="D92" s="4"/>
      <c r="E92" s="4"/>
      <c r="F92" s="4"/>
      <c r="G92" s="4"/>
      <c r="H92" s="4"/>
      <c r="I92" s="4"/>
      <c r="J92" s="4"/>
      <c r="K92" s="4"/>
      <c r="L92" s="4"/>
      <c r="M92" s="4"/>
      <c r="N92" s="4"/>
      <c r="O92" s="4"/>
      <c r="P92" s="4"/>
      <c r="Q92" s="4" t="str">
        <f>IFERROR(__xludf.DUMMYFUNCTION("""COMPUTED_VALUE"""),"-")</f>
        <v>-</v>
      </c>
      <c r="R92" s="4" t="str">
        <f>IFERROR(__xludf.DUMMYFUNCTION("""COMPUTED_VALUE"""),"")</f>
        <v/>
      </c>
      <c r="Y92" s="3"/>
      <c r="Z92" s="3"/>
      <c r="AA92" s="3"/>
      <c r="AB92" s="3"/>
    </row>
    <row r="93">
      <c r="A93" s="4"/>
      <c r="B93" s="4"/>
      <c r="C93" s="4"/>
      <c r="D93" s="4"/>
      <c r="E93" s="4"/>
      <c r="F93" s="4"/>
      <c r="G93" s="4"/>
      <c r="H93" s="4"/>
      <c r="I93" s="4"/>
      <c r="J93" s="4"/>
      <c r="K93" s="4"/>
      <c r="L93" s="4"/>
      <c r="M93" s="4"/>
      <c r="N93" s="4"/>
      <c r="O93" s="4"/>
      <c r="P93" s="4"/>
      <c r="Q93" s="4" t="str">
        <f>IFERROR(__xludf.DUMMYFUNCTION("""COMPUTED_VALUE"""),"-")</f>
        <v>-</v>
      </c>
      <c r="R93" s="4" t="str">
        <f>IFERROR(__xludf.DUMMYFUNCTION("""COMPUTED_VALUE"""),"")</f>
        <v/>
      </c>
      <c r="Y93" s="3"/>
      <c r="Z93" s="3"/>
      <c r="AA93" s="3"/>
      <c r="AB93" s="3"/>
    </row>
    <row r="94">
      <c r="A94" s="4"/>
      <c r="B94" s="4"/>
      <c r="C94" s="4"/>
      <c r="D94" s="4"/>
      <c r="E94" s="4"/>
      <c r="F94" s="4"/>
      <c r="G94" s="4"/>
      <c r="H94" s="4"/>
      <c r="I94" s="4"/>
      <c r="J94" s="4"/>
      <c r="K94" s="4"/>
      <c r="L94" s="4"/>
      <c r="M94" s="4"/>
      <c r="N94" s="4"/>
      <c r="O94" s="4"/>
      <c r="P94" s="4"/>
      <c r="Q94" s="4" t="str">
        <f>IFERROR(__xludf.DUMMYFUNCTION("""COMPUTED_VALUE"""),"-")</f>
        <v>-</v>
      </c>
      <c r="R94" s="4" t="str">
        <f>IFERROR(__xludf.DUMMYFUNCTION("""COMPUTED_VALUE"""),"")</f>
        <v/>
      </c>
      <c r="Y94" s="3"/>
      <c r="Z94" s="3"/>
      <c r="AA94" s="3"/>
      <c r="AB94" s="3"/>
    </row>
    <row r="95">
      <c r="A95" s="4"/>
      <c r="B95" s="4"/>
      <c r="C95" s="4"/>
      <c r="D95" s="4"/>
      <c r="E95" s="4"/>
      <c r="F95" s="4"/>
      <c r="G95" s="4"/>
      <c r="H95" s="4"/>
      <c r="I95" s="4"/>
      <c r="J95" s="4"/>
      <c r="K95" s="4"/>
      <c r="L95" s="4"/>
      <c r="M95" s="4"/>
      <c r="N95" s="4"/>
      <c r="O95" s="4"/>
      <c r="P95" s="4"/>
      <c r="Q95" s="4" t="str">
        <f>IFERROR(__xludf.DUMMYFUNCTION("""COMPUTED_VALUE"""),"-")</f>
        <v>-</v>
      </c>
      <c r="R95" s="4" t="str">
        <f>IFERROR(__xludf.DUMMYFUNCTION("""COMPUTED_VALUE"""),"")</f>
        <v/>
      </c>
      <c r="Y95" s="3"/>
      <c r="Z95" s="3"/>
      <c r="AA95" s="3"/>
      <c r="AB95" s="3"/>
    </row>
    <row r="96">
      <c r="A96" s="4"/>
      <c r="B96" s="4"/>
      <c r="C96" s="4"/>
      <c r="D96" s="4"/>
      <c r="E96" s="4"/>
      <c r="F96" s="4"/>
      <c r="G96" s="4"/>
      <c r="H96" s="4"/>
      <c r="I96" s="4"/>
      <c r="J96" s="4"/>
      <c r="K96" s="4"/>
      <c r="L96" s="4"/>
      <c r="M96" s="4"/>
      <c r="N96" s="4"/>
      <c r="O96" s="4"/>
      <c r="P96" s="4"/>
      <c r="Q96" s="4" t="str">
        <f>IFERROR(__xludf.DUMMYFUNCTION("""COMPUTED_VALUE"""),"-")</f>
        <v>-</v>
      </c>
      <c r="R96" s="4" t="str">
        <f>IFERROR(__xludf.DUMMYFUNCTION("""COMPUTED_VALUE"""),"")</f>
        <v/>
      </c>
      <c r="Y96" s="3"/>
      <c r="Z96" s="3"/>
      <c r="AA96" s="3"/>
      <c r="AB96" s="3"/>
    </row>
    <row r="97">
      <c r="A97" s="4"/>
      <c r="B97" s="4"/>
      <c r="C97" s="4"/>
      <c r="D97" s="4"/>
      <c r="E97" s="4"/>
      <c r="F97" s="4"/>
      <c r="G97" s="4"/>
      <c r="H97" s="4"/>
      <c r="I97" s="4"/>
      <c r="J97" s="4"/>
      <c r="K97" s="4"/>
      <c r="L97" s="4"/>
      <c r="M97" s="4"/>
      <c r="N97" s="4"/>
      <c r="O97" s="4"/>
      <c r="P97" s="4"/>
      <c r="Q97" s="4" t="str">
        <f>IFERROR(__xludf.DUMMYFUNCTION("""COMPUTED_VALUE"""),"-")</f>
        <v>-</v>
      </c>
      <c r="R97" s="4" t="str">
        <f>IFERROR(__xludf.DUMMYFUNCTION("""COMPUTED_VALUE"""),"")</f>
        <v/>
      </c>
      <c r="Y97" s="3"/>
      <c r="Z97" s="3"/>
      <c r="AA97" s="3"/>
      <c r="AB97" s="3"/>
    </row>
    <row r="98">
      <c r="A98" s="4"/>
      <c r="B98" s="4"/>
      <c r="C98" s="4"/>
      <c r="D98" s="4"/>
      <c r="E98" s="4"/>
      <c r="F98" s="4"/>
      <c r="G98" s="4"/>
      <c r="H98" s="4"/>
      <c r="I98" s="4"/>
      <c r="J98" s="4"/>
      <c r="K98" s="4"/>
      <c r="L98" s="4"/>
      <c r="M98" s="4"/>
      <c r="N98" s="4"/>
      <c r="O98" s="4"/>
      <c r="P98" s="4"/>
      <c r="Q98" s="4" t="str">
        <f>IFERROR(__xludf.DUMMYFUNCTION("""COMPUTED_VALUE"""),"-")</f>
        <v>-</v>
      </c>
      <c r="R98" s="4" t="str">
        <f>IFERROR(__xludf.DUMMYFUNCTION("""COMPUTED_VALUE"""),"")</f>
        <v/>
      </c>
      <c r="Y98" s="3"/>
      <c r="Z98" s="3"/>
      <c r="AA98" s="3"/>
      <c r="AB98" s="3"/>
    </row>
    <row r="99">
      <c r="A99" s="4"/>
      <c r="B99" s="4"/>
      <c r="C99" s="4"/>
      <c r="D99" s="4"/>
      <c r="E99" s="4"/>
      <c r="F99" s="4"/>
      <c r="G99" s="4"/>
      <c r="H99" s="4"/>
      <c r="I99" s="4"/>
      <c r="J99" s="4"/>
      <c r="K99" s="4"/>
      <c r="L99" s="4"/>
      <c r="M99" s="4"/>
      <c r="N99" s="4"/>
      <c r="O99" s="4"/>
      <c r="P99" s="4"/>
      <c r="Q99" s="4" t="str">
        <f>IFERROR(__xludf.DUMMYFUNCTION("""COMPUTED_VALUE"""),"-")</f>
        <v>-</v>
      </c>
      <c r="R99" s="4" t="str">
        <f>IFERROR(__xludf.DUMMYFUNCTION("""COMPUTED_VALUE"""),"")</f>
        <v/>
      </c>
      <c r="Y99" s="3"/>
      <c r="Z99" s="3"/>
      <c r="AA99" s="3"/>
      <c r="AB99" s="3"/>
    </row>
    <row r="100">
      <c r="A100" s="4"/>
      <c r="B100" s="4"/>
      <c r="C100" s="4"/>
      <c r="D100" s="4"/>
      <c r="E100" s="4"/>
      <c r="F100" s="4"/>
      <c r="G100" s="4"/>
      <c r="H100" s="4"/>
      <c r="I100" s="4"/>
      <c r="J100" s="4"/>
      <c r="K100" s="4"/>
      <c r="L100" s="4"/>
      <c r="M100" s="4"/>
      <c r="N100" s="4"/>
      <c r="O100" s="4"/>
      <c r="P100" s="4"/>
      <c r="Q100" s="4" t="str">
        <f>IFERROR(__xludf.DUMMYFUNCTION("""COMPUTED_VALUE"""),"-")</f>
        <v>-</v>
      </c>
      <c r="R100" s="4" t="str">
        <f>IFERROR(__xludf.DUMMYFUNCTION("""COMPUTED_VALUE"""),"")</f>
        <v/>
      </c>
      <c r="Y100" s="3"/>
      <c r="Z100" s="3"/>
      <c r="AA100" s="3"/>
      <c r="AB100" s="3"/>
    </row>
    <row r="101">
      <c r="A101" s="4"/>
      <c r="B101" s="4"/>
      <c r="C101" s="4"/>
      <c r="D101" s="4"/>
      <c r="E101" s="4"/>
      <c r="F101" s="4"/>
      <c r="G101" s="4"/>
      <c r="H101" s="4"/>
      <c r="I101" s="4"/>
      <c r="J101" s="4"/>
      <c r="K101" s="4"/>
      <c r="L101" s="4"/>
      <c r="M101" s="4"/>
      <c r="N101" s="4"/>
      <c r="O101" s="4"/>
      <c r="P101" s="4"/>
      <c r="Q101" s="4" t="str">
        <f>IFERROR(__xludf.DUMMYFUNCTION("""COMPUTED_VALUE"""),"-")</f>
        <v>-</v>
      </c>
      <c r="R101" s="4" t="str">
        <f>IFERROR(__xludf.DUMMYFUNCTION("""COMPUTED_VALUE"""),"")</f>
        <v/>
      </c>
      <c r="Y101" s="3"/>
      <c r="Z101" s="3"/>
      <c r="AA101" s="3"/>
      <c r="AB101" s="3"/>
    </row>
    <row r="102">
      <c r="A102" s="4"/>
      <c r="B102" s="4"/>
      <c r="C102" s="4"/>
      <c r="D102" s="4"/>
      <c r="E102" s="4"/>
      <c r="F102" s="4"/>
      <c r="G102" s="4"/>
      <c r="H102" s="4"/>
      <c r="I102" s="4"/>
      <c r="J102" s="4"/>
      <c r="K102" s="4"/>
      <c r="L102" s="4"/>
      <c r="M102" s="4"/>
      <c r="N102" s="4"/>
      <c r="O102" s="4"/>
      <c r="P102" s="4"/>
      <c r="Q102" s="4" t="str">
        <f>IFERROR(__xludf.DUMMYFUNCTION("""COMPUTED_VALUE"""),"-")</f>
        <v>-</v>
      </c>
      <c r="R102" s="4" t="str">
        <f>IFERROR(__xludf.DUMMYFUNCTION("""COMPUTED_VALUE"""),"")</f>
        <v/>
      </c>
      <c r="Y102" s="3"/>
      <c r="Z102" s="3"/>
      <c r="AA102" s="3"/>
      <c r="AB102" s="3"/>
    </row>
    <row r="103">
      <c r="A103" s="4"/>
      <c r="B103" s="4"/>
      <c r="C103" s="4"/>
      <c r="D103" s="4"/>
      <c r="E103" s="4"/>
      <c r="F103" s="4"/>
      <c r="G103" s="4"/>
      <c r="H103" s="4"/>
      <c r="I103" s="4"/>
      <c r="J103" s="4"/>
      <c r="K103" s="4"/>
      <c r="L103" s="4"/>
      <c r="M103" s="4"/>
      <c r="N103" s="4"/>
      <c r="O103" s="4"/>
      <c r="P103" s="4"/>
      <c r="Q103" s="4" t="str">
        <f>IFERROR(__xludf.DUMMYFUNCTION("""COMPUTED_VALUE"""),"-")</f>
        <v>-</v>
      </c>
      <c r="R103" s="4" t="str">
        <f>IFERROR(__xludf.DUMMYFUNCTION("""COMPUTED_VALUE"""),"")</f>
        <v/>
      </c>
      <c r="Y103" s="3"/>
      <c r="Z103" s="3"/>
      <c r="AA103" s="3"/>
      <c r="AB103" s="3"/>
    </row>
    <row r="104">
      <c r="A104" s="4"/>
      <c r="B104" s="4"/>
      <c r="C104" s="4"/>
      <c r="D104" s="4"/>
      <c r="E104" s="4"/>
      <c r="F104" s="4"/>
      <c r="G104" s="4"/>
      <c r="H104" s="4"/>
      <c r="I104" s="4"/>
      <c r="J104" s="4"/>
      <c r="K104" s="4"/>
      <c r="L104" s="4"/>
      <c r="M104" s="4"/>
      <c r="N104" s="4"/>
      <c r="O104" s="4"/>
      <c r="P104" s="4"/>
      <c r="Q104" s="4" t="str">
        <f>IFERROR(__xludf.DUMMYFUNCTION("""COMPUTED_VALUE"""),"-")</f>
        <v>-</v>
      </c>
      <c r="R104" s="4" t="str">
        <f>IFERROR(__xludf.DUMMYFUNCTION("""COMPUTED_VALUE"""),"")</f>
        <v/>
      </c>
      <c r="Y104" s="3"/>
      <c r="Z104" s="3"/>
      <c r="AA104" s="3"/>
      <c r="AB104" s="3"/>
    </row>
    <row r="105">
      <c r="A105" s="4"/>
      <c r="B105" s="4"/>
      <c r="C105" s="4"/>
      <c r="D105" s="4"/>
      <c r="E105" s="4"/>
      <c r="F105" s="4"/>
      <c r="G105" s="4"/>
      <c r="H105" s="4"/>
      <c r="I105" s="4"/>
      <c r="J105" s="4"/>
      <c r="K105" s="4"/>
      <c r="L105" s="4"/>
      <c r="M105" s="4"/>
      <c r="N105" s="4"/>
      <c r="O105" s="4"/>
      <c r="P105" s="4"/>
      <c r="Q105" s="4" t="str">
        <f>IFERROR(__xludf.DUMMYFUNCTION("""COMPUTED_VALUE"""),"-")</f>
        <v>-</v>
      </c>
      <c r="R105" s="4" t="str">
        <f>IFERROR(__xludf.DUMMYFUNCTION("""COMPUTED_VALUE"""),"")</f>
        <v/>
      </c>
      <c r="Y105" s="3"/>
      <c r="Z105" s="3"/>
      <c r="AA105" s="3"/>
      <c r="AB105" s="3"/>
    </row>
    <row r="106">
      <c r="A106" s="4"/>
      <c r="B106" s="4"/>
      <c r="C106" s="4"/>
      <c r="D106" s="4"/>
      <c r="E106" s="4"/>
      <c r="F106" s="4"/>
      <c r="G106" s="4"/>
      <c r="H106" s="4"/>
      <c r="I106" s="4"/>
      <c r="J106" s="4"/>
      <c r="K106" s="4"/>
      <c r="L106" s="4"/>
      <c r="M106" s="4"/>
      <c r="N106" s="4"/>
      <c r="O106" s="4"/>
      <c r="P106" s="4"/>
      <c r="Q106" s="4" t="str">
        <f>IFERROR(__xludf.DUMMYFUNCTION("""COMPUTED_VALUE"""),"-")</f>
        <v>-</v>
      </c>
      <c r="R106" s="4" t="str">
        <f>IFERROR(__xludf.DUMMYFUNCTION("""COMPUTED_VALUE"""),"")</f>
        <v/>
      </c>
      <c r="Y106" s="3"/>
      <c r="Z106" s="3"/>
      <c r="AA106" s="3"/>
      <c r="AB106" s="3"/>
    </row>
    <row r="107">
      <c r="A107" s="4"/>
      <c r="B107" s="4"/>
      <c r="C107" s="4"/>
      <c r="D107" s="4"/>
      <c r="E107" s="4"/>
      <c r="F107" s="4"/>
      <c r="G107" s="4"/>
      <c r="H107" s="4"/>
      <c r="I107" s="4"/>
      <c r="J107" s="4"/>
      <c r="K107" s="4"/>
      <c r="L107" s="4"/>
      <c r="M107" s="4"/>
      <c r="N107" s="4"/>
      <c r="O107" s="4"/>
      <c r="P107" s="4"/>
      <c r="Q107" s="4" t="str">
        <f>IFERROR(__xludf.DUMMYFUNCTION("""COMPUTED_VALUE"""),"-")</f>
        <v>-</v>
      </c>
      <c r="R107" s="4" t="str">
        <f>IFERROR(__xludf.DUMMYFUNCTION("""COMPUTED_VALUE"""),"")</f>
        <v/>
      </c>
      <c r="Y107" s="3"/>
      <c r="Z107" s="3"/>
      <c r="AA107" s="3"/>
      <c r="AB107" s="3"/>
    </row>
    <row r="108">
      <c r="A108" s="4"/>
      <c r="B108" s="4"/>
      <c r="C108" s="4"/>
      <c r="D108" s="4"/>
      <c r="E108" s="4"/>
      <c r="F108" s="4"/>
      <c r="G108" s="4"/>
      <c r="H108" s="4"/>
      <c r="I108" s="4"/>
      <c r="J108" s="4"/>
      <c r="K108" s="4"/>
      <c r="L108" s="4"/>
      <c r="M108" s="4"/>
      <c r="N108" s="4"/>
      <c r="O108" s="4"/>
      <c r="P108" s="4"/>
      <c r="Q108" s="4" t="str">
        <f>IFERROR(__xludf.DUMMYFUNCTION("""COMPUTED_VALUE"""),"-")</f>
        <v>-</v>
      </c>
      <c r="R108" s="4" t="str">
        <f>IFERROR(__xludf.DUMMYFUNCTION("""COMPUTED_VALUE"""),"")</f>
        <v/>
      </c>
      <c r="Y108" s="3"/>
      <c r="Z108" s="3"/>
      <c r="AA108" s="3"/>
      <c r="AB108" s="3"/>
    </row>
    <row r="109">
      <c r="A109" s="4"/>
      <c r="B109" s="4"/>
      <c r="C109" s="4"/>
      <c r="D109" s="4"/>
      <c r="E109" s="4"/>
      <c r="F109" s="4"/>
      <c r="G109" s="4"/>
      <c r="H109" s="4"/>
      <c r="I109" s="4"/>
      <c r="J109" s="4"/>
      <c r="K109" s="4"/>
      <c r="L109" s="4"/>
      <c r="M109" s="4"/>
      <c r="N109" s="4"/>
      <c r="O109" s="4"/>
      <c r="P109" s="4"/>
      <c r="Q109" s="4" t="str">
        <f>IFERROR(__xludf.DUMMYFUNCTION("""COMPUTED_VALUE"""),"-")</f>
        <v>-</v>
      </c>
      <c r="R109" s="4" t="str">
        <f>IFERROR(__xludf.DUMMYFUNCTION("""COMPUTED_VALUE"""),"")</f>
        <v/>
      </c>
      <c r="Y109" s="3"/>
      <c r="Z109" s="3"/>
      <c r="AA109" s="3"/>
      <c r="AB109" s="3"/>
    </row>
    <row r="110">
      <c r="A110" s="4"/>
      <c r="B110" s="4"/>
      <c r="C110" s="4"/>
      <c r="D110" s="4"/>
      <c r="E110" s="4"/>
      <c r="F110" s="4"/>
      <c r="G110" s="4"/>
      <c r="H110" s="4"/>
      <c r="I110" s="4"/>
      <c r="J110" s="4"/>
      <c r="K110" s="4"/>
      <c r="L110" s="4"/>
      <c r="M110" s="4"/>
      <c r="N110" s="4"/>
      <c r="O110" s="4"/>
      <c r="P110" s="4"/>
      <c r="Q110" s="4" t="str">
        <f>IFERROR(__xludf.DUMMYFUNCTION("""COMPUTED_VALUE"""),"-")</f>
        <v>-</v>
      </c>
      <c r="R110" s="4" t="str">
        <f>IFERROR(__xludf.DUMMYFUNCTION("""COMPUTED_VALUE"""),"")</f>
        <v/>
      </c>
      <c r="Y110" s="3"/>
      <c r="Z110" s="3"/>
      <c r="AA110" s="3"/>
      <c r="AB110" s="3"/>
    </row>
    <row r="111">
      <c r="A111" s="4"/>
      <c r="B111" s="4"/>
      <c r="C111" s="4"/>
      <c r="D111" s="4"/>
      <c r="E111" s="4"/>
      <c r="F111" s="4"/>
      <c r="G111" s="4"/>
      <c r="H111" s="4"/>
      <c r="I111" s="4"/>
      <c r="J111" s="4"/>
      <c r="K111" s="4"/>
      <c r="L111" s="4"/>
      <c r="M111" s="4"/>
      <c r="N111" s="4"/>
      <c r="O111" s="4"/>
      <c r="P111" s="4"/>
      <c r="Q111" s="4" t="str">
        <f>IFERROR(__xludf.DUMMYFUNCTION("""COMPUTED_VALUE"""),"-")</f>
        <v>-</v>
      </c>
      <c r="R111" s="4" t="str">
        <f>IFERROR(__xludf.DUMMYFUNCTION("""COMPUTED_VALUE"""),"")</f>
        <v/>
      </c>
      <c r="Y111" s="3"/>
      <c r="Z111" s="3"/>
      <c r="AA111" s="3"/>
      <c r="AB111" s="3"/>
    </row>
    <row r="112">
      <c r="A112" s="4"/>
      <c r="B112" s="4"/>
      <c r="C112" s="4"/>
      <c r="D112" s="4"/>
      <c r="E112" s="4"/>
      <c r="F112" s="4"/>
      <c r="G112" s="4"/>
      <c r="H112" s="4"/>
      <c r="I112" s="4"/>
      <c r="J112" s="4"/>
      <c r="K112" s="4"/>
      <c r="L112" s="4"/>
      <c r="M112" s="4"/>
      <c r="N112" s="4"/>
      <c r="O112" s="4"/>
      <c r="P112" s="4"/>
      <c r="Q112" s="4" t="str">
        <f>IFERROR(__xludf.DUMMYFUNCTION("""COMPUTED_VALUE"""),"-")</f>
        <v>-</v>
      </c>
      <c r="R112" s="4" t="str">
        <f>IFERROR(__xludf.DUMMYFUNCTION("""COMPUTED_VALUE"""),"")</f>
        <v/>
      </c>
      <c r="Y112" s="3"/>
      <c r="Z112" s="3"/>
      <c r="AA112" s="3"/>
      <c r="AB112" s="3"/>
    </row>
    <row r="113">
      <c r="A113" s="4"/>
      <c r="B113" s="4"/>
      <c r="C113" s="4"/>
      <c r="D113" s="4"/>
      <c r="E113" s="4"/>
      <c r="F113" s="4"/>
      <c r="G113" s="4"/>
      <c r="H113" s="4"/>
      <c r="I113" s="4"/>
      <c r="J113" s="4"/>
      <c r="K113" s="4"/>
      <c r="L113" s="4"/>
      <c r="M113" s="4"/>
      <c r="N113" s="4"/>
      <c r="O113" s="4"/>
      <c r="P113" s="4"/>
      <c r="Q113" s="4" t="str">
        <f>IFERROR(__xludf.DUMMYFUNCTION("""COMPUTED_VALUE"""),"-")</f>
        <v>-</v>
      </c>
      <c r="R113" s="4" t="str">
        <f>IFERROR(__xludf.DUMMYFUNCTION("""COMPUTED_VALUE"""),"")</f>
        <v/>
      </c>
      <c r="Y113" s="3"/>
      <c r="Z113" s="3"/>
      <c r="AA113" s="3"/>
      <c r="AB113" s="3"/>
    </row>
    <row r="114">
      <c r="A114" s="4"/>
      <c r="B114" s="4"/>
      <c r="C114" s="4"/>
      <c r="D114" s="4"/>
      <c r="E114" s="4"/>
      <c r="F114" s="4"/>
      <c r="G114" s="4"/>
      <c r="H114" s="4"/>
      <c r="I114" s="4"/>
      <c r="J114" s="4"/>
      <c r="K114" s="4"/>
      <c r="L114" s="4"/>
      <c r="M114" s="4"/>
      <c r="N114" s="4"/>
      <c r="O114" s="4"/>
      <c r="P114" s="4"/>
      <c r="Q114" s="4" t="str">
        <f>IFERROR(__xludf.DUMMYFUNCTION("""COMPUTED_VALUE"""),"-")</f>
        <v>-</v>
      </c>
      <c r="R114" s="4" t="str">
        <f>IFERROR(__xludf.DUMMYFUNCTION("""COMPUTED_VALUE"""),"")</f>
        <v/>
      </c>
      <c r="Y114" s="3"/>
      <c r="Z114" s="3"/>
      <c r="AA114" s="3"/>
      <c r="AB114" s="3"/>
    </row>
    <row r="115">
      <c r="A115" s="4"/>
      <c r="B115" s="4"/>
      <c r="C115" s="4"/>
      <c r="D115" s="4"/>
      <c r="E115" s="4"/>
      <c r="F115" s="4"/>
      <c r="G115" s="4"/>
      <c r="H115" s="4"/>
      <c r="I115" s="4"/>
      <c r="J115" s="4"/>
      <c r="K115" s="4"/>
      <c r="L115" s="4"/>
      <c r="M115" s="4"/>
      <c r="N115" s="4"/>
      <c r="O115" s="4"/>
      <c r="P115" s="4"/>
      <c r="Q115" s="4" t="str">
        <f>IFERROR(__xludf.DUMMYFUNCTION("""COMPUTED_VALUE"""),"-")</f>
        <v>-</v>
      </c>
      <c r="R115" s="4" t="str">
        <f>IFERROR(__xludf.DUMMYFUNCTION("""COMPUTED_VALUE"""),"")</f>
        <v/>
      </c>
      <c r="Y115" s="3"/>
      <c r="Z115" s="3"/>
      <c r="AA115" s="3"/>
      <c r="AB115" s="3"/>
    </row>
    <row r="116">
      <c r="A116" s="4"/>
      <c r="B116" s="4"/>
      <c r="C116" s="4"/>
      <c r="D116" s="4"/>
      <c r="E116" s="4"/>
      <c r="F116" s="4"/>
      <c r="G116" s="4"/>
      <c r="H116" s="4"/>
      <c r="I116" s="4"/>
      <c r="J116" s="4"/>
      <c r="K116" s="4"/>
      <c r="L116" s="4"/>
      <c r="M116" s="4"/>
      <c r="N116" s="4"/>
      <c r="O116" s="4"/>
      <c r="P116" s="4"/>
      <c r="Q116" s="4" t="str">
        <f>IFERROR(__xludf.DUMMYFUNCTION("""COMPUTED_VALUE"""),"-")</f>
        <v>-</v>
      </c>
      <c r="R116" s="4" t="str">
        <f>IFERROR(__xludf.DUMMYFUNCTION("""COMPUTED_VALUE"""),"")</f>
        <v/>
      </c>
      <c r="Y116" s="3"/>
      <c r="Z116" s="3"/>
      <c r="AA116" s="3"/>
      <c r="AB116" s="3"/>
    </row>
    <row r="117">
      <c r="A117" s="4"/>
      <c r="B117" s="4"/>
      <c r="C117" s="4"/>
      <c r="D117" s="4"/>
      <c r="E117" s="4"/>
      <c r="F117" s="4"/>
      <c r="G117" s="4"/>
      <c r="H117" s="4"/>
      <c r="I117" s="4"/>
      <c r="J117" s="4"/>
      <c r="K117" s="4"/>
      <c r="L117" s="4"/>
      <c r="M117" s="4"/>
      <c r="N117" s="4"/>
      <c r="O117" s="4"/>
      <c r="P117" s="4"/>
      <c r="Q117" s="4" t="str">
        <f>IFERROR(__xludf.DUMMYFUNCTION("""COMPUTED_VALUE"""),"-")</f>
        <v>-</v>
      </c>
      <c r="R117" s="4" t="str">
        <f>IFERROR(__xludf.DUMMYFUNCTION("""COMPUTED_VALUE"""),"")</f>
        <v/>
      </c>
      <c r="Y117" s="3"/>
      <c r="Z117" s="3"/>
      <c r="AA117" s="3"/>
      <c r="AB117" s="3"/>
    </row>
    <row r="118">
      <c r="A118" s="4"/>
      <c r="B118" s="4"/>
      <c r="C118" s="4"/>
      <c r="D118" s="4"/>
      <c r="E118" s="4"/>
      <c r="F118" s="4"/>
      <c r="G118" s="4"/>
      <c r="H118" s="4"/>
      <c r="I118" s="4"/>
      <c r="J118" s="4"/>
      <c r="K118" s="4"/>
      <c r="L118" s="4"/>
      <c r="M118" s="4"/>
      <c r="N118" s="4"/>
      <c r="O118" s="4"/>
      <c r="P118" s="4"/>
      <c r="Q118" s="4" t="str">
        <f>IFERROR(__xludf.DUMMYFUNCTION("""COMPUTED_VALUE"""),"-")</f>
        <v>-</v>
      </c>
      <c r="R118" s="4" t="str">
        <f>IFERROR(__xludf.DUMMYFUNCTION("""COMPUTED_VALUE"""),"")</f>
        <v/>
      </c>
      <c r="Y118" s="3"/>
      <c r="Z118" s="3"/>
      <c r="AA118" s="3"/>
      <c r="AB118" s="3"/>
    </row>
    <row r="119">
      <c r="A119" s="4"/>
      <c r="B119" s="4"/>
      <c r="C119" s="4"/>
      <c r="D119" s="4"/>
      <c r="E119" s="4"/>
      <c r="F119" s="4"/>
      <c r="G119" s="4"/>
      <c r="H119" s="4"/>
      <c r="I119" s="4"/>
      <c r="J119" s="4"/>
      <c r="K119" s="4"/>
      <c r="L119" s="4"/>
      <c r="M119" s="4"/>
      <c r="N119" s="4"/>
      <c r="O119" s="4"/>
      <c r="P119" s="4"/>
      <c r="Q119" s="4"/>
      <c r="R119" s="4"/>
      <c r="Y119" s="3"/>
      <c r="Z119" s="3"/>
      <c r="AA119" s="3"/>
      <c r="AB119" s="3"/>
    </row>
    <row r="120">
      <c r="A120" s="4"/>
      <c r="B120" s="4"/>
      <c r="C120" s="4"/>
      <c r="D120" s="4"/>
      <c r="E120" s="4"/>
      <c r="F120" s="4"/>
      <c r="G120" s="4"/>
      <c r="H120" s="4"/>
      <c r="I120" s="4"/>
      <c r="J120" s="4"/>
      <c r="K120" s="4"/>
      <c r="L120" s="4"/>
      <c r="M120" s="4"/>
      <c r="N120" s="4"/>
      <c r="O120" s="4"/>
      <c r="P120" s="4"/>
      <c r="Q120" s="4"/>
      <c r="R120" s="4"/>
      <c r="Y120" s="3"/>
      <c r="Z120" s="3"/>
      <c r="AA120" s="3"/>
      <c r="AB120" s="3"/>
    </row>
    <row r="121">
      <c r="A121" s="4"/>
      <c r="B121" s="4"/>
      <c r="C121" s="4"/>
      <c r="D121" s="4"/>
      <c r="E121" s="4"/>
      <c r="F121" s="4"/>
      <c r="G121" s="4"/>
      <c r="H121" s="4"/>
      <c r="I121" s="4"/>
      <c r="J121" s="4"/>
      <c r="K121" s="4"/>
      <c r="L121" s="4"/>
      <c r="M121" s="4"/>
      <c r="N121" s="4"/>
      <c r="O121" s="4"/>
      <c r="P121" s="4"/>
      <c r="Q121" s="4"/>
      <c r="R121" s="4"/>
      <c r="Y121" s="3"/>
      <c r="Z121" s="3"/>
      <c r="AA121" s="3"/>
      <c r="AB121" s="3"/>
    </row>
    <row r="122">
      <c r="A122" s="4"/>
      <c r="B122" s="4"/>
      <c r="C122" s="4"/>
      <c r="D122" s="4"/>
      <c r="E122" s="4"/>
      <c r="F122" s="4"/>
      <c r="G122" s="4"/>
      <c r="H122" s="4"/>
      <c r="I122" s="4"/>
      <c r="J122" s="4"/>
      <c r="K122" s="4"/>
      <c r="L122" s="4"/>
      <c r="M122" s="4"/>
      <c r="N122" s="4"/>
      <c r="O122" s="4"/>
      <c r="P122" s="4"/>
      <c r="Q122" s="4"/>
      <c r="R122" s="4"/>
      <c r="Y122" s="3"/>
      <c r="Z122" s="3"/>
      <c r="AA122" s="3"/>
      <c r="AB122" s="3"/>
    </row>
    <row r="123">
      <c r="A123" s="4"/>
      <c r="B123" s="4"/>
      <c r="C123" s="4"/>
      <c r="D123" s="4"/>
      <c r="E123" s="4"/>
      <c r="F123" s="4"/>
      <c r="G123" s="4"/>
      <c r="H123" s="4"/>
      <c r="I123" s="4"/>
      <c r="J123" s="4"/>
      <c r="K123" s="4"/>
      <c r="L123" s="4"/>
      <c r="M123" s="4"/>
      <c r="N123" s="4"/>
      <c r="O123" s="4"/>
      <c r="P123" s="4"/>
      <c r="Q123" s="4"/>
      <c r="R123" s="4"/>
      <c r="Y123" s="3"/>
      <c r="Z123" s="3"/>
      <c r="AA123" s="3"/>
      <c r="AB123" s="3"/>
    </row>
    <row r="124">
      <c r="A124" s="4"/>
      <c r="B124" s="4"/>
      <c r="C124" s="4"/>
      <c r="D124" s="4"/>
      <c r="E124" s="4"/>
      <c r="F124" s="4"/>
      <c r="G124" s="4"/>
      <c r="H124" s="4"/>
      <c r="I124" s="4"/>
      <c r="J124" s="4"/>
      <c r="K124" s="4"/>
      <c r="L124" s="4"/>
      <c r="M124" s="4"/>
      <c r="N124" s="4"/>
      <c r="O124" s="4"/>
      <c r="P124" s="4"/>
      <c r="Q124" s="4"/>
      <c r="R124" s="4"/>
      <c r="Y124" s="3"/>
      <c r="Z124" s="3"/>
      <c r="AA124" s="3"/>
      <c r="AB124" s="3"/>
    </row>
    <row r="125">
      <c r="A125" s="4"/>
      <c r="B125" s="4"/>
      <c r="C125" s="4"/>
      <c r="D125" s="4"/>
      <c r="E125" s="4"/>
      <c r="F125" s="4"/>
      <c r="G125" s="4"/>
      <c r="H125" s="4"/>
      <c r="I125" s="4"/>
      <c r="J125" s="4"/>
      <c r="K125" s="4"/>
      <c r="L125" s="4"/>
      <c r="M125" s="4"/>
      <c r="N125" s="4"/>
      <c r="O125" s="4"/>
      <c r="P125" s="4"/>
      <c r="Q125" s="4"/>
      <c r="R125" s="4"/>
      <c r="Y125" s="3"/>
      <c r="Z125" s="3"/>
      <c r="AA125" s="3"/>
      <c r="AB125" s="3"/>
    </row>
    <row r="126">
      <c r="A126" s="4"/>
      <c r="B126" s="4"/>
      <c r="C126" s="4"/>
      <c r="D126" s="4"/>
      <c r="E126" s="4"/>
      <c r="F126" s="4"/>
      <c r="G126" s="4"/>
      <c r="H126" s="4"/>
      <c r="I126" s="4"/>
      <c r="J126" s="4"/>
      <c r="K126" s="4"/>
      <c r="L126" s="4"/>
      <c r="M126" s="4"/>
      <c r="N126" s="4"/>
      <c r="O126" s="4"/>
      <c r="P126" s="4"/>
      <c r="Q126" s="4"/>
      <c r="R126" s="4"/>
      <c r="Y126" s="3"/>
      <c r="Z126" s="3"/>
      <c r="AA126" s="3"/>
      <c r="AB126" s="3"/>
    </row>
    <row r="127">
      <c r="A127" s="4"/>
      <c r="B127" s="4"/>
      <c r="C127" s="4"/>
      <c r="D127" s="4"/>
      <c r="E127" s="4"/>
      <c r="F127" s="4"/>
      <c r="G127" s="4"/>
      <c r="H127" s="4"/>
      <c r="I127" s="4"/>
      <c r="J127" s="4"/>
      <c r="K127" s="4"/>
      <c r="L127" s="4"/>
      <c r="M127" s="4"/>
      <c r="N127" s="4"/>
      <c r="O127" s="4"/>
      <c r="P127" s="4"/>
      <c r="Q127" s="4"/>
      <c r="R127" s="4"/>
      <c r="Y127" s="3"/>
      <c r="Z127" s="3"/>
      <c r="AA127" s="3"/>
      <c r="AB127" s="3"/>
    </row>
    <row r="128">
      <c r="A128" s="4"/>
      <c r="B128" s="4"/>
      <c r="C128" s="4"/>
      <c r="D128" s="4"/>
      <c r="E128" s="4"/>
      <c r="F128" s="4"/>
      <c r="G128" s="4"/>
      <c r="H128" s="4"/>
      <c r="I128" s="4"/>
      <c r="J128" s="4"/>
      <c r="K128" s="4"/>
      <c r="L128" s="4"/>
      <c r="M128" s="4"/>
      <c r="N128" s="4"/>
      <c r="O128" s="4"/>
      <c r="P128" s="4"/>
      <c r="Q128" s="4"/>
      <c r="R128" s="4"/>
      <c r="Y128" s="3"/>
      <c r="Z128" s="3"/>
      <c r="AA128" s="3"/>
      <c r="AB128" s="3"/>
    </row>
    <row r="129">
      <c r="A129" s="4"/>
      <c r="B129" s="4"/>
      <c r="C129" s="4"/>
      <c r="D129" s="4"/>
      <c r="E129" s="4"/>
      <c r="F129" s="4"/>
      <c r="G129" s="4"/>
      <c r="H129" s="4"/>
      <c r="I129" s="4"/>
      <c r="J129" s="4"/>
      <c r="K129" s="4"/>
      <c r="L129" s="4"/>
      <c r="M129" s="4"/>
      <c r="N129" s="4"/>
      <c r="O129" s="4"/>
      <c r="P129" s="4"/>
      <c r="Q129" s="4"/>
      <c r="R129" s="4"/>
      <c r="Y129" s="3"/>
      <c r="Z129" s="3"/>
      <c r="AA129" s="3"/>
      <c r="AB129" s="3"/>
    </row>
    <row r="130">
      <c r="A130" s="4"/>
      <c r="B130" s="4"/>
      <c r="C130" s="4"/>
      <c r="D130" s="4"/>
      <c r="E130" s="4"/>
      <c r="F130" s="4"/>
      <c r="G130" s="4"/>
      <c r="H130" s="4"/>
      <c r="I130" s="4"/>
      <c r="J130" s="4"/>
      <c r="K130" s="4"/>
      <c r="L130" s="4"/>
      <c r="M130" s="4"/>
      <c r="N130" s="4"/>
      <c r="O130" s="4"/>
      <c r="P130" s="4"/>
      <c r="Q130" s="4"/>
      <c r="R130" s="4"/>
      <c r="Y130" s="3"/>
      <c r="Z130" s="3"/>
      <c r="AA130" s="3"/>
      <c r="AB130" s="3"/>
    </row>
    <row r="131">
      <c r="A131" s="4"/>
      <c r="B131" s="4"/>
      <c r="C131" s="4"/>
      <c r="D131" s="4"/>
      <c r="E131" s="4"/>
      <c r="F131" s="4"/>
      <c r="G131" s="4"/>
      <c r="H131" s="4"/>
      <c r="I131" s="4"/>
      <c r="J131" s="4"/>
      <c r="K131" s="4"/>
      <c r="L131" s="4"/>
      <c r="M131" s="4"/>
      <c r="N131" s="4"/>
      <c r="O131" s="4"/>
      <c r="P131" s="4"/>
      <c r="Q131" s="4"/>
      <c r="R131" s="4"/>
      <c r="Y131" s="3"/>
      <c r="Z131" s="3"/>
      <c r="AA131" s="3"/>
      <c r="AB131" s="3"/>
    </row>
    <row r="132">
      <c r="A132" s="4"/>
      <c r="B132" s="4"/>
      <c r="C132" s="4"/>
      <c r="D132" s="4"/>
      <c r="E132" s="4"/>
      <c r="F132" s="4"/>
      <c r="G132" s="4"/>
      <c r="H132" s="4"/>
      <c r="I132" s="4"/>
      <c r="J132" s="4"/>
      <c r="K132" s="4"/>
      <c r="L132" s="4"/>
      <c r="M132" s="4"/>
      <c r="N132" s="4"/>
      <c r="O132" s="4"/>
      <c r="P132" s="4"/>
      <c r="Q132" s="4"/>
      <c r="R132" s="4"/>
      <c r="Y132" s="3"/>
      <c r="Z132" s="3"/>
      <c r="AA132" s="3"/>
      <c r="AB132" s="3"/>
    </row>
    <row r="133">
      <c r="A133" s="4"/>
      <c r="B133" s="4"/>
      <c r="C133" s="4"/>
      <c r="D133" s="4"/>
      <c r="E133" s="4"/>
      <c r="F133" s="4"/>
      <c r="G133" s="4"/>
      <c r="H133" s="4"/>
      <c r="I133" s="4"/>
      <c r="J133" s="4"/>
      <c r="K133" s="4"/>
      <c r="L133" s="4"/>
      <c r="M133" s="4"/>
      <c r="N133" s="4"/>
      <c r="O133" s="4"/>
      <c r="P133" s="4"/>
      <c r="Q133" s="4"/>
      <c r="R133" s="4"/>
      <c r="Y133" s="3"/>
      <c r="Z133" s="3"/>
      <c r="AA133" s="3"/>
      <c r="AB133" s="3"/>
    </row>
    <row r="134">
      <c r="A134" s="4"/>
      <c r="B134" s="4"/>
      <c r="C134" s="4"/>
      <c r="D134" s="4"/>
      <c r="E134" s="4"/>
      <c r="F134" s="4"/>
      <c r="G134" s="4"/>
      <c r="H134" s="4"/>
      <c r="I134" s="4"/>
      <c r="J134" s="4"/>
      <c r="K134" s="4"/>
      <c r="L134" s="4"/>
      <c r="M134" s="4"/>
      <c r="N134" s="4"/>
      <c r="O134" s="4"/>
      <c r="P134" s="4"/>
      <c r="Q134" s="4"/>
      <c r="R134" s="4"/>
      <c r="Y134" s="3"/>
      <c r="Z134" s="3"/>
      <c r="AA134" s="3"/>
      <c r="AB134" s="3"/>
    </row>
    <row r="135">
      <c r="A135" s="4"/>
      <c r="B135" s="4"/>
      <c r="C135" s="4"/>
      <c r="D135" s="4"/>
      <c r="E135" s="4"/>
      <c r="F135" s="4"/>
      <c r="G135" s="4"/>
      <c r="H135" s="4"/>
      <c r="I135" s="4"/>
      <c r="J135" s="4"/>
      <c r="K135" s="4"/>
      <c r="L135" s="4"/>
      <c r="M135" s="4"/>
      <c r="N135" s="4"/>
      <c r="O135" s="4"/>
      <c r="P135" s="4"/>
      <c r="Q135" s="4"/>
      <c r="R135" s="4"/>
      <c r="Y135" s="3"/>
      <c r="Z135" s="3"/>
      <c r="AA135" s="3"/>
      <c r="AB135" s="3"/>
    </row>
    <row r="136">
      <c r="A136" s="4"/>
      <c r="B136" s="4"/>
      <c r="C136" s="4"/>
      <c r="D136" s="4"/>
      <c r="E136" s="4"/>
      <c r="F136" s="4"/>
      <c r="G136" s="4"/>
      <c r="H136" s="4"/>
      <c r="I136" s="4"/>
      <c r="J136" s="4"/>
      <c r="K136" s="4"/>
      <c r="L136" s="4"/>
      <c r="M136" s="4"/>
      <c r="N136" s="4"/>
      <c r="O136" s="4"/>
      <c r="P136" s="4"/>
      <c r="Q136" s="4"/>
      <c r="R136" s="4"/>
      <c r="Y136" s="3"/>
      <c r="Z136" s="3"/>
      <c r="AA136" s="3"/>
      <c r="AB136" s="3"/>
    </row>
    <row r="137">
      <c r="A137" s="4"/>
      <c r="B137" s="4"/>
      <c r="C137" s="4"/>
      <c r="D137" s="4"/>
      <c r="E137" s="4"/>
      <c r="F137" s="4"/>
      <c r="G137" s="4"/>
      <c r="H137" s="4"/>
      <c r="I137" s="4"/>
      <c r="J137" s="4"/>
      <c r="K137" s="4"/>
      <c r="L137" s="4"/>
      <c r="M137" s="4"/>
      <c r="N137" s="4"/>
      <c r="O137" s="4"/>
      <c r="P137" s="4"/>
      <c r="Q137" s="4"/>
      <c r="R137" s="4"/>
      <c r="Y137" s="3"/>
      <c r="Z137" s="3"/>
      <c r="AA137" s="3"/>
      <c r="AB137" s="3"/>
    </row>
    <row r="138">
      <c r="A138" s="4"/>
      <c r="B138" s="4"/>
      <c r="C138" s="4"/>
      <c r="D138" s="4"/>
      <c r="E138" s="4"/>
      <c r="F138" s="4"/>
      <c r="G138" s="4"/>
      <c r="H138" s="4"/>
      <c r="I138" s="4"/>
      <c r="J138" s="4"/>
      <c r="K138" s="4"/>
      <c r="L138" s="4"/>
      <c r="M138" s="4"/>
      <c r="N138" s="4"/>
      <c r="O138" s="4"/>
      <c r="P138" s="4"/>
      <c r="Q138" s="4"/>
      <c r="R138" s="4"/>
      <c r="Y138" s="3"/>
      <c r="Z138" s="3"/>
      <c r="AA138" s="3"/>
      <c r="AB138" s="3"/>
    </row>
    <row r="139">
      <c r="A139" s="4"/>
      <c r="B139" s="4"/>
      <c r="C139" s="4"/>
      <c r="D139" s="4"/>
      <c r="E139" s="4"/>
      <c r="F139" s="4"/>
      <c r="G139" s="4"/>
      <c r="H139" s="4"/>
      <c r="I139" s="4"/>
      <c r="J139" s="4"/>
      <c r="K139" s="4"/>
      <c r="L139" s="4"/>
      <c r="M139" s="4"/>
      <c r="N139" s="4"/>
      <c r="O139" s="4"/>
      <c r="P139" s="4"/>
      <c r="Q139" s="4"/>
      <c r="R139" s="4"/>
      <c r="Y139" s="3"/>
      <c r="Z139" s="3"/>
      <c r="AA139" s="3"/>
      <c r="AB139" s="3"/>
    </row>
    <row r="140">
      <c r="A140" s="4"/>
      <c r="B140" s="4"/>
      <c r="C140" s="4"/>
      <c r="D140" s="4"/>
      <c r="E140" s="4"/>
      <c r="F140" s="4"/>
      <c r="G140" s="4"/>
      <c r="H140" s="4"/>
      <c r="I140" s="4"/>
      <c r="J140" s="4"/>
      <c r="K140" s="4"/>
      <c r="L140" s="4"/>
      <c r="M140" s="4"/>
      <c r="N140" s="4"/>
      <c r="O140" s="4"/>
      <c r="P140" s="4"/>
      <c r="Q140" s="4"/>
      <c r="R140" s="4"/>
      <c r="Y140" s="3"/>
      <c r="Z140" s="3"/>
      <c r="AA140" s="3"/>
      <c r="AB140" s="3"/>
    </row>
    <row r="141">
      <c r="A141" s="4"/>
      <c r="B141" s="4"/>
      <c r="C141" s="4"/>
      <c r="D141" s="4"/>
      <c r="E141" s="4"/>
      <c r="F141" s="4"/>
      <c r="G141" s="4"/>
      <c r="H141" s="4"/>
      <c r="I141" s="4"/>
      <c r="J141" s="4"/>
      <c r="K141" s="4"/>
      <c r="L141" s="4"/>
      <c r="M141" s="4"/>
      <c r="N141" s="4"/>
      <c r="O141" s="4"/>
      <c r="P141" s="4"/>
      <c r="Q141" s="4"/>
      <c r="R141" s="4"/>
      <c r="Y141" s="3"/>
      <c r="Z141" s="3"/>
      <c r="AA141" s="3"/>
      <c r="AB141" s="3"/>
    </row>
    <row r="142">
      <c r="A142" s="4"/>
      <c r="B142" s="4"/>
      <c r="C142" s="4"/>
      <c r="D142" s="4"/>
      <c r="E142" s="4"/>
      <c r="F142" s="4"/>
      <c r="G142" s="4"/>
      <c r="H142" s="4"/>
      <c r="I142" s="4"/>
      <c r="J142" s="4"/>
      <c r="K142" s="4"/>
      <c r="L142" s="4"/>
      <c r="M142" s="4"/>
      <c r="N142" s="4"/>
      <c r="O142" s="4"/>
      <c r="P142" s="4"/>
      <c r="Q142" s="4"/>
      <c r="R142" s="4"/>
      <c r="Y142" s="3"/>
      <c r="Z142" s="3"/>
      <c r="AA142" s="3"/>
      <c r="AB142" s="3"/>
    </row>
    <row r="143">
      <c r="A143" s="4"/>
      <c r="B143" s="4"/>
      <c r="C143" s="4"/>
      <c r="D143" s="4"/>
      <c r="E143" s="4"/>
      <c r="F143" s="4"/>
      <c r="G143" s="4"/>
      <c r="H143" s="4"/>
      <c r="I143" s="4"/>
      <c r="J143" s="4"/>
      <c r="K143" s="4"/>
      <c r="L143" s="4"/>
      <c r="M143" s="4"/>
      <c r="N143" s="4"/>
      <c r="O143" s="4"/>
      <c r="P143" s="4"/>
      <c r="Q143" s="4"/>
      <c r="R143" s="4"/>
      <c r="Y143" s="3"/>
      <c r="Z143" s="3"/>
      <c r="AA143" s="3"/>
      <c r="AB143" s="3"/>
    </row>
    <row r="144">
      <c r="A144" s="4"/>
      <c r="B144" s="4"/>
      <c r="C144" s="4"/>
      <c r="D144" s="4"/>
      <c r="E144" s="4"/>
      <c r="F144" s="4"/>
      <c r="G144" s="4"/>
      <c r="H144" s="4"/>
      <c r="I144" s="4"/>
      <c r="J144" s="4"/>
      <c r="K144" s="4"/>
      <c r="L144" s="4"/>
      <c r="M144" s="4"/>
      <c r="N144" s="4"/>
      <c r="O144" s="4"/>
      <c r="P144" s="4"/>
      <c r="Q144" s="4"/>
      <c r="R144" s="4"/>
      <c r="Y144" s="3"/>
      <c r="Z144" s="3"/>
      <c r="AA144" s="3"/>
      <c r="AB144" s="3"/>
    </row>
    <row r="145">
      <c r="A145" s="4"/>
      <c r="B145" s="4"/>
      <c r="C145" s="4"/>
      <c r="D145" s="4"/>
      <c r="E145" s="4"/>
      <c r="F145" s="4"/>
      <c r="G145" s="4"/>
      <c r="H145" s="4"/>
      <c r="I145" s="4"/>
      <c r="J145" s="4"/>
      <c r="K145" s="4"/>
      <c r="L145" s="4"/>
      <c r="M145" s="4"/>
      <c r="N145" s="4"/>
      <c r="O145" s="4"/>
      <c r="P145" s="4"/>
      <c r="Q145" s="4"/>
      <c r="R145" s="4"/>
      <c r="Y145" s="3"/>
      <c r="Z145" s="3"/>
      <c r="AA145" s="3"/>
      <c r="AB145" s="3"/>
    </row>
    <row r="146">
      <c r="A146" s="4"/>
      <c r="B146" s="4"/>
      <c r="C146" s="4"/>
      <c r="D146" s="4"/>
      <c r="E146" s="4"/>
      <c r="F146" s="4"/>
      <c r="G146" s="4"/>
      <c r="H146" s="4"/>
      <c r="I146" s="4"/>
      <c r="J146" s="4"/>
      <c r="K146" s="4"/>
      <c r="L146" s="4"/>
      <c r="M146" s="4"/>
      <c r="N146" s="4"/>
      <c r="O146" s="4"/>
      <c r="P146" s="4"/>
      <c r="Q146" s="4"/>
      <c r="R146" s="4"/>
      <c r="Y146" s="3"/>
      <c r="Z146" s="3"/>
      <c r="AA146" s="3"/>
      <c r="AB146" s="3"/>
    </row>
    <row r="147">
      <c r="A147" s="4"/>
      <c r="B147" s="4"/>
      <c r="C147" s="4"/>
      <c r="D147" s="4"/>
      <c r="E147" s="4"/>
      <c r="F147" s="4"/>
      <c r="G147" s="4"/>
      <c r="H147" s="4"/>
      <c r="I147" s="4"/>
      <c r="J147" s="4"/>
      <c r="K147" s="4"/>
      <c r="L147" s="4"/>
      <c r="M147" s="4"/>
      <c r="N147" s="4"/>
      <c r="O147" s="4"/>
      <c r="P147" s="4"/>
      <c r="Q147" s="4"/>
      <c r="R147" s="4"/>
      <c r="Y147" s="3"/>
      <c r="Z147" s="3"/>
      <c r="AA147" s="3"/>
      <c r="AB147" s="3"/>
    </row>
    <row r="148">
      <c r="A148" s="4"/>
      <c r="B148" s="4"/>
      <c r="C148" s="4"/>
      <c r="D148" s="4"/>
      <c r="E148" s="4"/>
      <c r="F148" s="4"/>
      <c r="G148" s="4"/>
      <c r="H148" s="4"/>
      <c r="I148" s="4"/>
      <c r="J148" s="4"/>
      <c r="K148" s="4"/>
      <c r="L148" s="4"/>
      <c r="M148" s="4"/>
      <c r="N148" s="4"/>
      <c r="O148" s="4"/>
      <c r="P148" s="4"/>
      <c r="Q148" s="4"/>
      <c r="R148" s="4"/>
      <c r="Y148" s="3"/>
      <c r="Z148" s="3"/>
      <c r="AA148" s="3"/>
      <c r="AB148" s="3"/>
    </row>
    <row r="149">
      <c r="A149" s="4"/>
      <c r="B149" s="4"/>
      <c r="C149" s="4"/>
      <c r="D149" s="4"/>
      <c r="E149" s="4"/>
      <c r="F149" s="4"/>
      <c r="G149" s="4"/>
      <c r="H149" s="4"/>
      <c r="I149" s="4"/>
      <c r="J149" s="4"/>
      <c r="K149" s="4"/>
      <c r="L149" s="4"/>
      <c r="M149" s="4"/>
      <c r="N149" s="4"/>
      <c r="O149" s="4"/>
      <c r="P149" s="4"/>
      <c r="Q149" s="4"/>
      <c r="R149" s="4"/>
      <c r="Y149" s="3"/>
      <c r="Z149" s="3"/>
      <c r="AA149" s="3"/>
      <c r="AB149" s="3"/>
    </row>
    <row r="150">
      <c r="A150" s="4"/>
      <c r="B150" s="4"/>
      <c r="C150" s="4"/>
      <c r="D150" s="4"/>
      <c r="E150" s="4"/>
      <c r="F150" s="4"/>
      <c r="G150" s="4"/>
      <c r="H150" s="4"/>
      <c r="I150" s="4"/>
      <c r="J150" s="4"/>
      <c r="K150" s="4"/>
      <c r="L150" s="4"/>
      <c r="M150" s="4"/>
      <c r="N150" s="4"/>
      <c r="O150" s="4"/>
      <c r="P150" s="4"/>
      <c r="Q150" s="4"/>
      <c r="R150" s="4"/>
      <c r="Y150" s="3"/>
      <c r="Z150" s="3"/>
      <c r="AA150" s="3"/>
      <c r="AB150" s="3"/>
    </row>
    <row r="151">
      <c r="A151" s="4"/>
      <c r="B151" s="4"/>
      <c r="C151" s="4"/>
      <c r="D151" s="4"/>
      <c r="E151" s="4"/>
      <c r="F151" s="4"/>
      <c r="G151" s="4"/>
      <c r="H151" s="4"/>
      <c r="I151" s="4"/>
      <c r="J151" s="4"/>
      <c r="K151" s="4"/>
      <c r="L151" s="4"/>
      <c r="M151" s="4"/>
      <c r="N151" s="4"/>
      <c r="O151" s="4"/>
      <c r="P151" s="4"/>
      <c r="Q151" s="4"/>
      <c r="R151" s="4"/>
      <c r="Y151" s="3"/>
      <c r="Z151" s="3"/>
      <c r="AA151" s="3"/>
      <c r="AB151" s="3"/>
    </row>
    <row r="152">
      <c r="A152" s="4"/>
      <c r="B152" s="4"/>
      <c r="C152" s="4"/>
      <c r="D152" s="4"/>
      <c r="E152" s="4"/>
      <c r="F152" s="4"/>
      <c r="G152" s="4"/>
      <c r="H152" s="4"/>
      <c r="I152" s="4"/>
      <c r="J152" s="4"/>
      <c r="K152" s="4"/>
      <c r="L152" s="4"/>
      <c r="M152" s="4"/>
      <c r="N152" s="4"/>
      <c r="O152" s="4"/>
      <c r="P152" s="4"/>
      <c r="Q152" s="4"/>
      <c r="R152" s="4"/>
      <c r="Y152" s="3"/>
      <c r="Z152" s="3"/>
      <c r="AA152" s="3"/>
      <c r="AB152" s="3"/>
    </row>
    <row r="153">
      <c r="A153" s="4"/>
      <c r="B153" s="4"/>
      <c r="C153" s="4"/>
      <c r="D153" s="4"/>
      <c r="E153" s="4"/>
      <c r="F153" s="4"/>
      <c r="G153" s="4"/>
      <c r="H153" s="4"/>
      <c r="I153" s="4"/>
      <c r="J153" s="4"/>
      <c r="K153" s="4"/>
      <c r="L153" s="4"/>
      <c r="M153" s="4"/>
      <c r="N153" s="4"/>
      <c r="O153" s="4"/>
      <c r="P153" s="4"/>
      <c r="Q153" s="4"/>
      <c r="R153" s="4"/>
      <c r="Y153" s="3"/>
      <c r="Z153" s="3"/>
      <c r="AA153" s="3"/>
      <c r="AB153" s="3"/>
    </row>
    <row r="154">
      <c r="A154" s="4"/>
      <c r="B154" s="4"/>
      <c r="C154" s="4"/>
      <c r="D154" s="4"/>
      <c r="E154" s="4"/>
      <c r="F154" s="4"/>
      <c r="G154" s="4"/>
      <c r="H154" s="4"/>
      <c r="I154" s="4"/>
      <c r="J154" s="4"/>
      <c r="K154" s="4"/>
      <c r="L154" s="4"/>
      <c r="M154" s="4"/>
      <c r="N154" s="4"/>
      <c r="O154" s="4"/>
      <c r="P154" s="4"/>
      <c r="Q154" s="4"/>
      <c r="R154" s="4"/>
      <c r="Y154" s="3"/>
      <c r="Z154" s="3"/>
      <c r="AA154" s="3"/>
      <c r="AB154" s="3"/>
    </row>
    <row r="155">
      <c r="A155" s="4"/>
      <c r="B155" s="4"/>
      <c r="C155" s="4"/>
      <c r="D155" s="4"/>
      <c r="E155" s="4"/>
      <c r="F155" s="4"/>
      <c r="G155" s="4"/>
      <c r="H155" s="4"/>
      <c r="I155" s="4"/>
      <c r="J155" s="4"/>
      <c r="K155" s="4"/>
      <c r="L155" s="4"/>
      <c r="M155" s="4"/>
      <c r="N155" s="4"/>
      <c r="O155" s="4"/>
      <c r="P155" s="4"/>
      <c r="Q155" s="4"/>
      <c r="R155" s="4"/>
      <c r="Y155" s="3"/>
      <c r="Z155" s="3"/>
      <c r="AA155" s="3"/>
      <c r="AB155" s="3"/>
    </row>
    <row r="156">
      <c r="A156" s="4"/>
      <c r="B156" s="4"/>
      <c r="C156" s="4"/>
      <c r="D156" s="4"/>
      <c r="E156" s="4"/>
      <c r="F156" s="4"/>
      <c r="G156" s="4"/>
      <c r="H156" s="4"/>
      <c r="I156" s="4"/>
      <c r="J156" s="4"/>
      <c r="K156" s="4"/>
      <c r="L156" s="4"/>
      <c r="M156" s="4"/>
      <c r="N156" s="4"/>
      <c r="O156" s="4"/>
      <c r="P156" s="4"/>
      <c r="Q156" s="4"/>
      <c r="R156" s="4"/>
      <c r="Y156" s="3"/>
      <c r="Z156" s="3"/>
      <c r="AA156" s="3"/>
      <c r="AB156" s="3"/>
    </row>
    <row r="157">
      <c r="A157" s="4"/>
      <c r="B157" s="4"/>
      <c r="C157" s="4"/>
      <c r="D157" s="4"/>
      <c r="E157" s="4"/>
      <c r="F157" s="4"/>
      <c r="G157" s="4"/>
      <c r="H157" s="4"/>
      <c r="I157" s="4"/>
      <c r="J157" s="4"/>
      <c r="K157" s="4"/>
      <c r="L157" s="4"/>
      <c r="M157" s="4"/>
      <c r="N157" s="4"/>
      <c r="O157" s="4"/>
      <c r="P157" s="4"/>
      <c r="Q157" s="4"/>
      <c r="R157" s="4"/>
      <c r="Y157" s="3"/>
      <c r="Z157" s="3"/>
      <c r="AA157" s="3"/>
      <c r="AB157" s="3"/>
    </row>
    <row r="158">
      <c r="A158" s="4"/>
      <c r="B158" s="4"/>
      <c r="C158" s="4"/>
      <c r="D158" s="4"/>
      <c r="E158" s="4"/>
      <c r="F158" s="4"/>
      <c r="G158" s="4"/>
      <c r="H158" s="4"/>
      <c r="I158" s="4"/>
      <c r="J158" s="4"/>
      <c r="K158" s="4"/>
      <c r="L158" s="4"/>
      <c r="M158" s="4"/>
      <c r="N158" s="4"/>
      <c r="O158" s="4"/>
      <c r="P158" s="4"/>
      <c r="Q158" s="4"/>
      <c r="R158" s="4"/>
      <c r="Y158" s="3"/>
      <c r="Z158" s="3"/>
      <c r="AA158" s="3"/>
      <c r="AB158" s="3"/>
    </row>
    <row r="159">
      <c r="A159" s="4"/>
      <c r="B159" s="4"/>
      <c r="C159" s="4"/>
      <c r="D159" s="4"/>
      <c r="E159" s="4"/>
      <c r="F159" s="4"/>
      <c r="G159" s="4"/>
      <c r="H159" s="4"/>
      <c r="I159" s="4"/>
      <c r="J159" s="4"/>
      <c r="K159" s="4"/>
      <c r="L159" s="4"/>
      <c r="M159" s="4"/>
      <c r="N159" s="4"/>
      <c r="O159" s="4"/>
      <c r="P159" s="4"/>
      <c r="Q159" s="4"/>
      <c r="R159" s="4"/>
      <c r="Y159" s="3"/>
      <c r="Z159" s="3"/>
      <c r="AA159" s="3"/>
      <c r="AB159" s="3"/>
    </row>
    <row r="160">
      <c r="A160" s="4"/>
      <c r="B160" s="4"/>
      <c r="C160" s="4"/>
      <c r="D160" s="4"/>
      <c r="E160" s="4"/>
      <c r="F160" s="4"/>
      <c r="G160" s="4"/>
      <c r="H160" s="4"/>
      <c r="I160" s="4"/>
      <c r="J160" s="4"/>
      <c r="K160" s="4"/>
      <c r="L160" s="4"/>
      <c r="M160" s="4"/>
      <c r="N160" s="4"/>
      <c r="O160" s="4"/>
      <c r="P160" s="4"/>
      <c r="Q160" s="4"/>
      <c r="R160" s="4"/>
      <c r="Y160" s="3"/>
      <c r="Z160" s="3"/>
      <c r="AA160" s="3"/>
      <c r="AB160" s="3"/>
    </row>
    <row r="161">
      <c r="A161" s="4"/>
      <c r="B161" s="4"/>
      <c r="C161" s="4"/>
      <c r="D161" s="4"/>
      <c r="E161" s="4"/>
      <c r="F161" s="4"/>
      <c r="G161" s="4"/>
      <c r="H161" s="4"/>
      <c r="I161" s="4"/>
      <c r="J161" s="4"/>
      <c r="K161" s="4"/>
      <c r="L161" s="4"/>
      <c r="M161" s="4"/>
      <c r="N161" s="4"/>
      <c r="O161" s="4"/>
      <c r="P161" s="4"/>
      <c r="Q161" s="4"/>
      <c r="R161" s="4"/>
      <c r="Y161" s="3"/>
      <c r="Z161" s="3"/>
      <c r="AA161" s="3"/>
      <c r="AB161" s="3"/>
    </row>
    <row r="162">
      <c r="A162" s="4"/>
      <c r="B162" s="4"/>
      <c r="C162" s="4"/>
      <c r="D162" s="4"/>
      <c r="E162" s="4"/>
      <c r="F162" s="4"/>
      <c r="G162" s="4"/>
      <c r="H162" s="4"/>
      <c r="I162" s="4"/>
      <c r="J162" s="4"/>
      <c r="K162" s="4"/>
      <c r="L162" s="4"/>
      <c r="M162" s="4"/>
      <c r="N162" s="4"/>
      <c r="O162" s="4"/>
      <c r="P162" s="4"/>
      <c r="Q162" s="4"/>
      <c r="R162" s="4"/>
      <c r="Y162" s="3"/>
      <c r="Z162" s="3"/>
      <c r="AA162" s="3"/>
      <c r="AB162" s="3"/>
    </row>
    <row r="163">
      <c r="A163" s="4"/>
      <c r="B163" s="4"/>
      <c r="C163" s="4"/>
      <c r="D163" s="4"/>
      <c r="E163" s="4"/>
      <c r="F163" s="4"/>
      <c r="G163" s="4"/>
      <c r="H163" s="4"/>
      <c r="I163" s="4"/>
      <c r="J163" s="4"/>
      <c r="K163" s="4"/>
      <c r="L163" s="4"/>
      <c r="M163" s="4"/>
      <c r="N163" s="4"/>
      <c r="O163" s="4"/>
      <c r="P163" s="4"/>
      <c r="Q163" s="4"/>
      <c r="R163" s="4"/>
      <c r="Y163" s="3"/>
      <c r="Z163" s="3"/>
      <c r="AA163" s="3"/>
      <c r="AB163" s="3"/>
    </row>
    <row r="164">
      <c r="A164" s="4"/>
      <c r="B164" s="4"/>
      <c r="C164" s="4"/>
      <c r="D164" s="4"/>
      <c r="E164" s="4"/>
      <c r="F164" s="4"/>
      <c r="G164" s="4"/>
      <c r="H164" s="4"/>
      <c r="I164" s="4"/>
      <c r="J164" s="4"/>
      <c r="K164" s="4"/>
      <c r="L164" s="4"/>
      <c r="M164" s="4"/>
      <c r="N164" s="4"/>
      <c r="O164" s="4"/>
      <c r="P164" s="4"/>
      <c r="Q164" s="4"/>
      <c r="R164" s="4"/>
      <c r="Y164" s="3"/>
      <c r="Z164" s="3"/>
      <c r="AA164" s="3"/>
      <c r="AB164" s="3"/>
    </row>
    <row r="165">
      <c r="A165" s="4"/>
      <c r="B165" s="4"/>
      <c r="C165" s="4"/>
      <c r="D165" s="4"/>
      <c r="E165" s="4"/>
      <c r="F165" s="4"/>
      <c r="G165" s="4"/>
      <c r="H165" s="4"/>
      <c r="I165" s="4"/>
      <c r="J165" s="4"/>
      <c r="K165" s="4"/>
      <c r="L165" s="4"/>
      <c r="M165" s="4"/>
      <c r="N165" s="4"/>
      <c r="O165" s="4"/>
      <c r="P165" s="4"/>
      <c r="Q165" s="4"/>
      <c r="R165" s="4"/>
      <c r="Y165" s="3"/>
      <c r="Z165" s="3"/>
      <c r="AA165" s="3"/>
      <c r="AB165" s="3"/>
    </row>
    <row r="166">
      <c r="A166" s="4"/>
      <c r="B166" s="4"/>
      <c r="C166" s="4"/>
      <c r="D166" s="4"/>
      <c r="E166" s="4"/>
      <c r="F166" s="4"/>
      <c r="G166" s="4"/>
      <c r="H166" s="4"/>
      <c r="I166" s="4"/>
      <c r="J166" s="4"/>
      <c r="K166" s="4"/>
      <c r="L166" s="4"/>
      <c r="M166" s="4"/>
      <c r="N166" s="4"/>
      <c r="O166" s="4"/>
      <c r="P166" s="4"/>
      <c r="Q166" s="4" t="str">
        <f>IFERROR(__xludf.DUMMYFUNCTION("""COMPUTED_VALUE"""),"-")</f>
        <v>-</v>
      </c>
      <c r="R166" s="4" t="str">
        <f>IFERROR(__xludf.DUMMYFUNCTION("""COMPUTED_VALUE"""),"")</f>
        <v/>
      </c>
      <c r="Y166" s="3"/>
      <c r="Z166" s="3"/>
      <c r="AA166" s="3"/>
      <c r="AB166" s="3"/>
    </row>
    <row r="167">
      <c r="A167" s="4"/>
      <c r="B167" s="4"/>
      <c r="C167" s="4"/>
      <c r="D167" s="4"/>
      <c r="E167" s="4"/>
      <c r="F167" s="4"/>
      <c r="G167" s="4"/>
      <c r="H167" s="4"/>
      <c r="I167" s="4"/>
      <c r="J167" s="4"/>
      <c r="K167" s="4"/>
      <c r="L167" s="4"/>
      <c r="M167" s="4"/>
      <c r="N167" s="4"/>
      <c r="O167" s="4"/>
      <c r="P167" s="4"/>
      <c r="Q167" s="4" t="str">
        <f>IFERROR(__xludf.DUMMYFUNCTION("""COMPUTED_VALUE"""),"-")</f>
        <v>-</v>
      </c>
      <c r="R167" s="4" t="str">
        <f>IFERROR(__xludf.DUMMYFUNCTION("""COMPUTED_VALUE"""),"")</f>
        <v/>
      </c>
      <c r="Y167" s="3"/>
      <c r="Z167" s="3"/>
      <c r="AA167" s="3"/>
      <c r="AB167" s="3"/>
    </row>
    <row r="168">
      <c r="A168" s="4"/>
      <c r="B168" s="4"/>
      <c r="C168" s="4"/>
      <c r="D168" s="4"/>
      <c r="E168" s="4"/>
      <c r="F168" s="4"/>
      <c r="G168" s="4"/>
      <c r="H168" s="4"/>
      <c r="I168" s="4"/>
      <c r="J168" s="4"/>
      <c r="K168" s="4"/>
      <c r="L168" s="4"/>
      <c r="M168" s="4"/>
      <c r="N168" s="4"/>
      <c r="O168" s="4"/>
      <c r="P168" s="4"/>
      <c r="Q168" s="4" t="str">
        <f>IFERROR(__xludf.DUMMYFUNCTION("""COMPUTED_VALUE"""),"-")</f>
        <v>-</v>
      </c>
      <c r="R168" s="4" t="str">
        <f>IFERROR(__xludf.DUMMYFUNCTION("""COMPUTED_VALUE"""),"")</f>
        <v/>
      </c>
      <c r="Y168" s="3"/>
      <c r="Z168" s="3"/>
      <c r="AA168" s="3"/>
      <c r="AB168" s="3"/>
    </row>
    <row r="169">
      <c r="A169" s="4"/>
      <c r="B169" s="4"/>
      <c r="C169" s="4"/>
      <c r="D169" s="4"/>
      <c r="E169" s="4"/>
      <c r="F169" s="4"/>
      <c r="G169" s="4"/>
      <c r="H169" s="4"/>
      <c r="I169" s="4"/>
      <c r="J169" s="4"/>
      <c r="K169" s="4"/>
      <c r="L169" s="4"/>
      <c r="M169" s="4"/>
      <c r="N169" s="4"/>
      <c r="O169" s="4"/>
      <c r="P169" s="4"/>
      <c r="Q169" s="4" t="str">
        <f>IFERROR(__xludf.DUMMYFUNCTION("""COMPUTED_VALUE"""),"-")</f>
        <v>-</v>
      </c>
      <c r="R169" s="4" t="str">
        <f>IFERROR(__xludf.DUMMYFUNCTION("""COMPUTED_VALUE"""),"")</f>
        <v/>
      </c>
      <c r="Y169" s="3"/>
      <c r="Z169" s="3"/>
      <c r="AA169" s="3"/>
      <c r="AB169" s="3"/>
    </row>
    <row r="170">
      <c r="A170" s="4"/>
      <c r="B170" s="4"/>
      <c r="C170" s="4"/>
      <c r="D170" s="4"/>
      <c r="E170" s="4"/>
      <c r="F170" s="4"/>
      <c r="G170" s="4"/>
      <c r="H170" s="4"/>
      <c r="I170" s="4"/>
      <c r="J170" s="4"/>
      <c r="K170" s="4"/>
      <c r="L170" s="4"/>
      <c r="M170" s="4"/>
      <c r="N170" s="4"/>
      <c r="O170" s="4"/>
      <c r="P170" s="4"/>
      <c r="Q170" s="4" t="str">
        <f>IFERROR(__xludf.DUMMYFUNCTION("""COMPUTED_VALUE"""),"-")</f>
        <v>-</v>
      </c>
      <c r="R170" s="4" t="str">
        <f>IFERROR(__xludf.DUMMYFUNCTION("""COMPUTED_VALUE"""),"")</f>
        <v/>
      </c>
      <c r="Y170" s="3"/>
      <c r="Z170" s="3"/>
      <c r="AA170" s="3"/>
      <c r="AB170" s="3"/>
    </row>
    <row r="171">
      <c r="A171" s="4"/>
      <c r="B171" s="4"/>
      <c r="C171" s="4"/>
      <c r="D171" s="4"/>
      <c r="E171" s="4"/>
      <c r="F171" s="4"/>
      <c r="G171" s="4"/>
      <c r="H171" s="4"/>
      <c r="I171" s="4"/>
      <c r="J171" s="4"/>
      <c r="K171" s="4"/>
      <c r="L171" s="4"/>
      <c r="M171" s="4"/>
      <c r="N171" s="4"/>
      <c r="O171" s="4"/>
      <c r="P171" s="4"/>
      <c r="Q171" s="4" t="str">
        <f>IFERROR(__xludf.DUMMYFUNCTION("""COMPUTED_VALUE"""),"-")</f>
        <v>-</v>
      </c>
      <c r="R171" s="4" t="str">
        <f>IFERROR(__xludf.DUMMYFUNCTION("""COMPUTED_VALUE"""),"")</f>
        <v/>
      </c>
      <c r="Y171" s="3"/>
      <c r="Z171" s="3"/>
      <c r="AA171" s="3"/>
      <c r="AB171" s="3"/>
    </row>
    <row r="172">
      <c r="A172" s="4"/>
      <c r="B172" s="4"/>
      <c r="C172" s="4"/>
      <c r="D172" s="4"/>
      <c r="E172" s="4"/>
      <c r="F172" s="4"/>
      <c r="G172" s="4"/>
      <c r="H172" s="4"/>
      <c r="I172" s="4"/>
      <c r="J172" s="4"/>
      <c r="K172" s="4"/>
      <c r="L172" s="4"/>
      <c r="M172" s="4"/>
      <c r="N172" s="4"/>
      <c r="O172" s="4"/>
      <c r="P172" s="4"/>
      <c r="Q172" s="4"/>
      <c r="R172" s="4"/>
      <c r="Y172" s="3"/>
      <c r="Z172" s="3"/>
      <c r="AA172" s="3"/>
      <c r="AB172" s="3"/>
    </row>
    <row r="173">
      <c r="A173" s="4"/>
      <c r="B173" s="4"/>
      <c r="C173" s="4"/>
      <c r="D173" s="4"/>
      <c r="E173" s="4"/>
      <c r="F173" s="4"/>
      <c r="G173" s="4"/>
      <c r="H173" s="4"/>
      <c r="I173" s="4"/>
      <c r="J173" s="4"/>
      <c r="K173" s="4"/>
      <c r="L173" s="4"/>
      <c r="M173" s="4"/>
      <c r="N173" s="4"/>
      <c r="O173" s="4"/>
      <c r="P173" s="4"/>
      <c r="Q173" s="4"/>
      <c r="R173" s="4"/>
      <c r="Y173" s="3"/>
      <c r="Z173" s="3"/>
      <c r="AA173" s="3"/>
      <c r="AB173" s="3"/>
    </row>
    <row r="174">
      <c r="A174" s="4"/>
      <c r="B174" s="4"/>
      <c r="C174" s="4"/>
      <c r="D174" s="4"/>
      <c r="E174" s="4"/>
      <c r="F174" s="4"/>
      <c r="G174" s="4"/>
      <c r="H174" s="4"/>
      <c r="I174" s="4"/>
      <c r="J174" s="4"/>
      <c r="K174" s="4"/>
      <c r="L174" s="4"/>
      <c r="M174" s="4"/>
      <c r="N174" s="4"/>
      <c r="O174" s="4"/>
      <c r="P174" s="4"/>
      <c r="Q174" s="4"/>
      <c r="R174" s="4"/>
      <c r="Y174" s="3"/>
      <c r="Z174" s="3"/>
      <c r="AA174" s="3"/>
      <c r="AB174" s="3"/>
    </row>
    <row r="175">
      <c r="A175" s="4"/>
      <c r="B175" s="4"/>
      <c r="C175" s="4"/>
      <c r="D175" s="4"/>
      <c r="E175" s="4"/>
      <c r="F175" s="4"/>
      <c r="G175" s="4"/>
      <c r="H175" s="4"/>
      <c r="I175" s="4"/>
      <c r="J175" s="4"/>
      <c r="K175" s="4"/>
      <c r="L175" s="4"/>
      <c r="M175" s="4"/>
      <c r="N175" s="4"/>
      <c r="O175" s="4"/>
      <c r="P175" s="4"/>
      <c r="Q175" s="4"/>
      <c r="R175" s="4"/>
      <c r="Y175" s="3"/>
      <c r="Z175" s="3"/>
      <c r="AA175" s="3"/>
      <c r="AB175" s="3"/>
    </row>
    <row r="176">
      <c r="A176" s="4"/>
      <c r="B176" s="4"/>
      <c r="C176" s="4"/>
      <c r="D176" s="4"/>
      <c r="E176" s="4"/>
      <c r="F176" s="4"/>
      <c r="G176" s="4"/>
      <c r="H176" s="4"/>
      <c r="I176" s="4"/>
      <c r="J176" s="4"/>
      <c r="K176" s="4"/>
      <c r="L176" s="4"/>
      <c r="M176" s="4"/>
      <c r="N176" s="4"/>
      <c r="O176" s="4"/>
      <c r="P176" s="4"/>
      <c r="Q176" s="4"/>
      <c r="R176" s="4"/>
      <c r="Y176" s="3"/>
      <c r="Z176" s="3"/>
      <c r="AA176" s="3"/>
      <c r="AB176" s="3"/>
    </row>
    <row r="177">
      <c r="A177" s="4"/>
      <c r="B177" s="4"/>
      <c r="C177" s="4"/>
      <c r="D177" s="4"/>
      <c r="E177" s="4"/>
      <c r="F177" s="4"/>
      <c r="G177" s="4"/>
      <c r="H177" s="4"/>
      <c r="I177" s="4"/>
      <c r="J177" s="4"/>
      <c r="K177" s="4"/>
      <c r="L177" s="4"/>
      <c r="M177" s="4"/>
      <c r="N177" s="4"/>
      <c r="O177" s="4"/>
      <c r="P177" s="4"/>
      <c r="Q177" s="4"/>
      <c r="R177" s="4"/>
      <c r="Y177" s="3"/>
      <c r="Z177" s="3"/>
      <c r="AA177" s="3"/>
      <c r="AB177" s="3"/>
    </row>
    <row r="178">
      <c r="A178" s="4"/>
      <c r="B178" s="4"/>
      <c r="C178" s="4"/>
      <c r="D178" s="4"/>
      <c r="E178" s="4"/>
      <c r="F178" s="4"/>
      <c r="G178" s="4"/>
      <c r="H178" s="4"/>
      <c r="I178" s="4"/>
      <c r="J178" s="4"/>
      <c r="K178" s="4"/>
      <c r="L178" s="4"/>
      <c r="M178" s="4"/>
      <c r="N178" s="4"/>
      <c r="O178" s="4"/>
      <c r="P178" s="4"/>
      <c r="Q178" s="4"/>
      <c r="R178" s="4"/>
      <c r="Y178" s="3"/>
      <c r="Z178" s="3"/>
      <c r="AA178" s="3"/>
      <c r="AB178" s="3"/>
    </row>
    <row r="179">
      <c r="A179" s="4"/>
      <c r="B179" s="4"/>
      <c r="C179" s="4"/>
      <c r="D179" s="4"/>
      <c r="E179" s="4"/>
      <c r="F179" s="4"/>
      <c r="G179" s="4"/>
      <c r="H179" s="4"/>
      <c r="I179" s="4"/>
      <c r="J179" s="4"/>
      <c r="K179" s="4"/>
      <c r="L179" s="4"/>
      <c r="M179" s="4"/>
      <c r="N179" s="4"/>
      <c r="O179" s="4"/>
      <c r="P179" s="4"/>
      <c r="Q179" s="4"/>
      <c r="R179" s="4"/>
      <c r="Y179" s="3"/>
      <c r="Z179" s="3"/>
      <c r="AA179" s="3"/>
      <c r="AB179" s="3"/>
    </row>
    <row r="180">
      <c r="A180" s="4"/>
      <c r="B180" s="4"/>
      <c r="C180" s="4"/>
      <c r="D180" s="4"/>
      <c r="E180" s="4"/>
      <c r="F180" s="4"/>
      <c r="G180" s="4"/>
      <c r="H180" s="4"/>
      <c r="I180" s="4"/>
      <c r="J180" s="4"/>
      <c r="K180" s="4"/>
      <c r="L180" s="4"/>
      <c r="M180" s="4"/>
      <c r="N180" s="4"/>
      <c r="O180" s="4"/>
      <c r="P180" s="4"/>
      <c r="Q180" s="4"/>
      <c r="R180" s="4"/>
      <c r="Y180" s="3"/>
      <c r="Z180" s="3"/>
      <c r="AA180" s="3"/>
      <c r="AB180" s="3"/>
    </row>
    <row r="181">
      <c r="A181" s="4"/>
      <c r="B181" s="4"/>
      <c r="C181" s="4"/>
      <c r="D181" s="4"/>
      <c r="E181" s="4"/>
      <c r="F181" s="4"/>
      <c r="G181" s="4"/>
      <c r="H181" s="4"/>
      <c r="I181" s="4"/>
      <c r="J181" s="4"/>
      <c r="K181" s="4"/>
      <c r="L181" s="4"/>
      <c r="M181" s="4"/>
      <c r="N181" s="4"/>
      <c r="O181" s="4"/>
      <c r="P181" s="4"/>
      <c r="Q181" s="4"/>
      <c r="R181" s="4"/>
      <c r="Y181" s="3"/>
      <c r="Z181" s="3"/>
      <c r="AA181" s="3"/>
      <c r="AB181" s="3"/>
    </row>
    <row r="182">
      <c r="A182" s="4"/>
      <c r="B182" s="4"/>
      <c r="C182" s="4"/>
      <c r="D182" s="4"/>
      <c r="E182" s="4"/>
      <c r="F182" s="4"/>
      <c r="G182" s="4"/>
      <c r="H182" s="4"/>
      <c r="I182" s="4"/>
      <c r="J182" s="4"/>
      <c r="K182" s="4"/>
      <c r="L182" s="4"/>
      <c r="M182" s="4"/>
      <c r="N182" s="4"/>
      <c r="O182" s="4"/>
      <c r="P182" s="4"/>
      <c r="Q182" s="4"/>
      <c r="R182" s="4"/>
      <c r="Y182" s="3"/>
      <c r="Z182" s="3"/>
      <c r="AA182" s="3"/>
      <c r="AB182" s="3"/>
    </row>
    <row r="183">
      <c r="A183" s="4"/>
      <c r="B183" s="4"/>
      <c r="C183" s="4"/>
      <c r="D183" s="4"/>
      <c r="E183" s="4"/>
      <c r="F183" s="4"/>
      <c r="G183" s="4"/>
      <c r="H183" s="4"/>
      <c r="I183" s="4"/>
      <c r="J183" s="4"/>
      <c r="K183" s="4"/>
      <c r="L183" s="4"/>
      <c r="M183" s="4"/>
      <c r="N183" s="4"/>
      <c r="O183" s="4"/>
      <c r="P183" s="4"/>
      <c r="Q183" s="4"/>
      <c r="R183" s="4"/>
      <c r="Y183" s="3"/>
      <c r="Z183" s="3"/>
      <c r="AA183" s="3"/>
      <c r="AB183" s="3"/>
    </row>
    <row r="184">
      <c r="A184" s="4"/>
      <c r="B184" s="4"/>
      <c r="C184" s="4"/>
      <c r="D184" s="4"/>
      <c r="E184" s="4"/>
      <c r="F184" s="4"/>
      <c r="G184" s="4"/>
      <c r="H184" s="4"/>
      <c r="I184" s="4"/>
      <c r="J184" s="4"/>
      <c r="K184" s="4"/>
      <c r="L184" s="4"/>
      <c r="M184" s="4"/>
      <c r="N184" s="4"/>
      <c r="O184" s="4"/>
      <c r="P184" s="4"/>
      <c r="Q184" s="4"/>
      <c r="R184" s="4"/>
      <c r="Y184" s="3"/>
      <c r="Z184" s="3"/>
      <c r="AA184" s="3"/>
      <c r="AB184" s="3"/>
    </row>
    <row r="185">
      <c r="A185" s="4"/>
      <c r="B185" s="4"/>
      <c r="C185" s="4"/>
      <c r="D185" s="4"/>
      <c r="E185" s="4"/>
      <c r="F185" s="4"/>
      <c r="G185" s="4"/>
      <c r="H185" s="4"/>
      <c r="I185" s="4"/>
      <c r="J185" s="4"/>
      <c r="K185" s="4"/>
      <c r="L185" s="4"/>
      <c r="M185" s="4"/>
      <c r="N185" s="4"/>
      <c r="O185" s="4"/>
      <c r="P185" s="4"/>
      <c r="Q185" s="4"/>
      <c r="R185" s="4"/>
      <c r="Y185" s="3"/>
      <c r="Z185" s="3"/>
      <c r="AA185" s="3"/>
      <c r="AB185" s="3"/>
    </row>
    <row r="186">
      <c r="A186" s="4"/>
      <c r="B186" s="4"/>
      <c r="C186" s="4"/>
      <c r="D186" s="4"/>
      <c r="E186" s="4"/>
      <c r="F186" s="4"/>
      <c r="G186" s="4"/>
      <c r="H186" s="4"/>
      <c r="I186" s="4"/>
      <c r="J186" s="4"/>
      <c r="K186" s="4"/>
      <c r="L186" s="4"/>
      <c r="M186" s="4"/>
      <c r="N186" s="4"/>
      <c r="O186" s="4"/>
      <c r="P186" s="4"/>
      <c r="Q186" s="4"/>
      <c r="R186" s="4"/>
      <c r="Y186" s="3"/>
      <c r="Z186" s="3"/>
      <c r="AA186" s="3"/>
      <c r="AB186" s="3"/>
    </row>
    <row r="187">
      <c r="A187" s="4"/>
      <c r="B187" s="4"/>
      <c r="C187" s="4"/>
      <c r="D187" s="4"/>
      <c r="E187" s="4"/>
      <c r="F187" s="4"/>
      <c r="G187" s="4"/>
      <c r="H187" s="4"/>
      <c r="I187" s="4"/>
      <c r="J187" s="4"/>
      <c r="K187" s="4"/>
      <c r="L187" s="4"/>
      <c r="M187" s="4"/>
      <c r="N187" s="4"/>
      <c r="O187" s="4"/>
      <c r="P187" s="4"/>
      <c r="Q187" s="4"/>
      <c r="R187" s="4"/>
      <c r="Y187" s="3"/>
      <c r="Z187" s="3"/>
      <c r="AA187" s="3"/>
      <c r="AB187" s="3"/>
    </row>
    <row r="188">
      <c r="A188" s="4"/>
      <c r="B188" s="4"/>
      <c r="C188" s="4"/>
      <c r="D188" s="4"/>
      <c r="E188" s="4"/>
      <c r="F188" s="4"/>
      <c r="G188" s="4"/>
      <c r="H188" s="4"/>
      <c r="I188" s="4"/>
      <c r="J188" s="4"/>
      <c r="K188" s="4"/>
      <c r="L188" s="4"/>
      <c r="M188" s="4"/>
      <c r="N188" s="4"/>
      <c r="O188" s="4"/>
      <c r="P188" s="4"/>
      <c r="Q188" s="4"/>
      <c r="R188" s="4"/>
      <c r="Y188" s="3"/>
      <c r="Z188" s="3"/>
      <c r="AA188" s="3"/>
      <c r="AB188" s="3"/>
    </row>
    <row r="189">
      <c r="A189" s="4"/>
      <c r="B189" s="4"/>
      <c r="C189" s="4"/>
      <c r="D189" s="4"/>
      <c r="E189" s="4"/>
      <c r="F189" s="4"/>
      <c r="G189" s="4"/>
      <c r="H189" s="4"/>
      <c r="I189" s="4"/>
      <c r="J189" s="4"/>
      <c r="K189" s="4"/>
      <c r="L189" s="4"/>
      <c r="M189" s="4"/>
      <c r="N189" s="4"/>
      <c r="O189" s="4"/>
      <c r="P189" s="4"/>
      <c r="Q189" s="4"/>
      <c r="R189" s="4"/>
      <c r="Y189" s="3"/>
      <c r="Z189" s="3"/>
      <c r="AA189" s="3"/>
      <c r="AB189" s="3"/>
    </row>
    <row r="190">
      <c r="A190" s="4"/>
      <c r="B190" s="4"/>
      <c r="C190" s="4"/>
      <c r="D190" s="4"/>
      <c r="E190" s="4"/>
      <c r="F190" s="4"/>
      <c r="G190" s="4"/>
      <c r="H190" s="4"/>
      <c r="I190" s="4"/>
      <c r="J190" s="4"/>
      <c r="K190" s="4"/>
      <c r="L190" s="4"/>
      <c r="M190" s="4"/>
      <c r="N190" s="4"/>
      <c r="O190" s="4"/>
      <c r="P190" s="4"/>
      <c r="Q190" s="4"/>
      <c r="R190" s="4"/>
      <c r="Y190" s="3"/>
      <c r="Z190" s="3"/>
      <c r="AA190" s="3"/>
      <c r="AB190" s="3"/>
    </row>
    <row r="191">
      <c r="A191" s="4"/>
      <c r="B191" s="4"/>
      <c r="C191" s="4"/>
      <c r="D191" s="4"/>
      <c r="E191" s="4"/>
      <c r="F191" s="4"/>
      <c r="G191" s="4"/>
      <c r="H191" s="4"/>
      <c r="I191" s="4"/>
      <c r="J191" s="4"/>
      <c r="K191" s="4"/>
      <c r="L191" s="4"/>
      <c r="M191" s="4"/>
      <c r="N191" s="4"/>
      <c r="O191" s="4"/>
      <c r="P191" s="4"/>
      <c r="Q191" s="4"/>
      <c r="R191" s="4"/>
      <c r="Y191" s="3"/>
      <c r="Z191" s="3"/>
      <c r="AA191" s="3"/>
      <c r="AB191" s="3"/>
    </row>
    <row r="192">
      <c r="A192" s="4"/>
      <c r="B192" s="4"/>
      <c r="C192" s="4"/>
      <c r="D192" s="4"/>
      <c r="E192" s="4"/>
      <c r="F192" s="4"/>
      <c r="G192" s="4"/>
      <c r="H192" s="4"/>
      <c r="I192" s="4"/>
      <c r="J192" s="4"/>
      <c r="K192" s="4"/>
      <c r="L192" s="4"/>
      <c r="M192" s="4"/>
      <c r="N192" s="4"/>
      <c r="O192" s="4"/>
      <c r="P192" s="4"/>
      <c r="Q192" s="4"/>
      <c r="R192" s="4"/>
      <c r="Y192" s="3"/>
      <c r="Z192" s="3"/>
      <c r="AA192" s="3"/>
      <c r="AB192" s="3"/>
    </row>
    <row r="193">
      <c r="A193" s="4"/>
      <c r="B193" s="4"/>
      <c r="C193" s="4"/>
      <c r="D193" s="4"/>
      <c r="E193" s="4"/>
      <c r="F193" s="4"/>
      <c r="G193" s="4"/>
      <c r="H193" s="4"/>
      <c r="I193" s="4"/>
      <c r="J193" s="4"/>
      <c r="K193" s="4"/>
      <c r="L193" s="4"/>
      <c r="M193" s="4"/>
      <c r="N193" s="4"/>
      <c r="O193" s="4"/>
      <c r="P193" s="4"/>
      <c r="Q193" s="4"/>
      <c r="R193" s="4"/>
      <c r="Y193" s="3"/>
      <c r="Z193" s="3"/>
      <c r="AA193" s="3"/>
      <c r="AB193" s="3"/>
    </row>
    <row r="194">
      <c r="A194" s="4"/>
      <c r="B194" s="4"/>
      <c r="C194" s="4"/>
      <c r="D194" s="4"/>
      <c r="E194" s="4"/>
      <c r="F194" s="4"/>
      <c r="G194" s="4"/>
      <c r="H194" s="4"/>
      <c r="I194" s="4"/>
      <c r="J194" s="4"/>
      <c r="K194" s="4"/>
      <c r="L194" s="4"/>
      <c r="M194" s="4"/>
      <c r="N194" s="4"/>
      <c r="O194" s="4"/>
      <c r="P194" s="4"/>
      <c r="Q194" s="4"/>
      <c r="R194" s="4"/>
      <c r="Y194" s="3"/>
      <c r="Z194" s="3"/>
      <c r="AA194" s="3"/>
      <c r="AB194" s="3"/>
    </row>
    <row r="195">
      <c r="A195" s="4"/>
      <c r="B195" s="4"/>
      <c r="C195" s="4"/>
      <c r="D195" s="4"/>
      <c r="E195" s="4"/>
      <c r="F195" s="4"/>
      <c r="G195" s="4"/>
      <c r="H195" s="4"/>
      <c r="I195" s="4"/>
      <c r="J195" s="4"/>
      <c r="K195" s="4"/>
      <c r="L195" s="4"/>
      <c r="M195" s="4"/>
      <c r="N195" s="4"/>
      <c r="O195" s="4"/>
      <c r="P195" s="4"/>
      <c r="Q195" s="4"/>
      <c r="R195" s="4"/>
      <c r="Y195" s="3"/>
      <c r="Z195" s="3"/>
      <c r="AA195" s="3"/>
      <c r="AB195" s="3"/>
    </row>
    <row r="196">
      <c r="A196" s="4"/>
      <c r="B196" s="4"/>
      <c r="C196" s="4"/>
      <c r="D196" s="4"/>
      <c r="E196" s="4"/>
      <c r="F196" s="4"/>
      <c r="G196" s="4"/>
      <c r="H196" s="4"/>
      <c r="I196" s="4"/>
      <c r="J196" s="4"/>
      <c r="K196" s="4"/>
      <c r="L196" s="4"/>
      <c r="M196" s="4"/>
      <c r="N196" s="4"/>
      <c r="O196" s="4"/>
      <c r="P196" s="4"/>
      <c r="Q196" s="4"/>
      <c r="R196" s="4"/>
      <c r="Y196" s="3"/>
      <c r="Z196" s="3"/>
      <c r="AA196" s="3"/>
      <c r="AB196" s="3"/>
    </row>
    <row r="197">
      <c r="A197" s="4"/>
      <c r="B197" s="4"/>
      <c r="C197" s="4"/>
      <c r="D197" s="4"/>
      <c r="E197" s="4"/>
      <c r="F197" s="4"/>
      <c r="G197" s="4"/>
      <c r="H197" s="4"/>
      <c r="I197" s="4"/>
      <c r="J197" s="4"/>
      <c r="K197" s="4"/>
      <c r="L197" s="4"/>
      <c r="M197" s="4"/>
      <c r="N197" s="4"/>
      <c r="O197" s="4"/>
      <c r="P197" s="4"/>
      <c r="Q197" s="4"/>
      <c r="R197" s="4"/>
      <c r="Y197" s="3"/>
      <c r="Z197" s="3"/>
      <c r="AA197" s="3"/>
      <c r="AB197" s="3"/>
    </row>
    <row r="198">
      <c r="A198" s="4"/>
      <c r="B198" s="4"/>
      <c r="C198" s="4"/>
      <c r="D198" s="4"/>
      <c r="E198" s="4"/>
      <c r="F198" s="4"/>
      <c r="G198" s="4"/>
      <c r="H198" s="4"/>
      <c r="I198" s="4"/>
      <c r="J198" s="4"/>
      <c r="K198" s="4"/>
      <c r="L198" s="4"/>
      <c r="M198" s="4"/>
      <c r="N198" s="4"/>
      <c r="O198" s="4"/>
      <c r="P198" s="4"/>
      <c r="Q198" s="4"/>
      <c r="R198" s="4"/>
      <c r="Y198" s="3"/>
      <c r="Z198" s="3"/>
      <c r="AA198" s="3"/>
      <c r="AB198" s="3"/>
    </row>
    <row r="199">
      <c r="A199" s="4"/>
      <c r="B199" s="4"/>
      <c r="C199" s="4"/>
      <c r="D199" s="4"/>
      <c r="E199" s="4"/>
      <c r="F199" s="4"/>
      <c r="G199" s="4"/>
      <c r="H199" s="4"/>
      <c r="I199" s="4"/>
      <c r="J199" s="4"/>
      <c r="K199" s="4"/>
      <c r="L199" s="4"/>
      <c r="M199" s="4"/>
      <c r="N199" s="4"/>
      <c r="O199" s="4"/>
      <c r="P199" s="4"/>
      <c r="Q199" s="4"/>
      <c r="R199" s="4"/>
      <c r="Y199" s="3"/>
      <c r="Z199" s="3"/>
      <c r="AA199" s="3"/>
      <c r="AB199" s="3"/>
    </row>
    <row r="200">
      <c r="A200" s="4"/>
      <c r="B200" s="4"/>
      <c r="C200" s="4"/>
      <c r="D200" s="4"/>
      <c r="E200" s="4"/>
      <c r="F200" s="4"/>
      <c r="G200" s="4"/>
      <c r="H200" s="4"/>
      <c r="I200" s="4"/>
      <c r="J200" s="4"/>
      <c r="K200" s="4"/>
      <c r="L200" s="4"/>
      <c r="M200" s="4"/>
      <c r="N200" s="4"/>
      <c r="O200" s="4"/>
      <c r="P200" s="4"/>
      <c r="Q200" s="4"/>
      <c r="R200" s="4"/>
      <c r="Y200" s="3"/>
      <c r="Z200" s="3"/>
      <c r="AA200" s="3"/>
      <c r="AB200" s="3"/>
    </row>
    <row r="201">
      <c r="A201" s="4"/>
      <c r="B201" s="4"/>
      <c r="C201" s="4"/>
      <c r="D201" s="4"/>
      <c r="E201" s="4"/>
      <c r="F201" s="4"/>
      <c r="G201" s="4"/>
      <c r="H201" s="4"/>
      <c r="I201" s="4"/>
      <c r="J201" s="4"/>
      <c r="K201" s="4"/>
      <c r="L201" s="4"/>
      <c r="M201" s="4"/>
      <c r="N201" s="4"/>
      <c r="O201" s="4"/>
      <c r="P201" s="4"/>
      <c r="Q201" s="4"/>
      <c r="R201" s="4"/>
      <c r="Y201" s="3"/>
      <c r="Z201" s="3"/>
      <c r="AA201" s="3"/>
      <c r="AB201" s="3"/>
    </row>
    <row r="202">
      <c r="A202" s="4"/>
      <c r="B202" s="4"/>
      <c r="C202" s="4"/>
      <c r="D202" s="4"/>
      <c r="E202" s="4"/>
      <c r="F202" s="4"/>
      <c r="G202" s="4"/>
      <c r="H202" s="4"/>
      <c r="I202" s="4"/>
      <c r="J202" s="4"/>
      <c r="K202" s="4"/>
      <c r="L202" s="4"/>
      <c r="M202" s="4"/>
      <c r="N202" s="4"/>
      <c r="O202" s="4"/>
      <c r="P202" s="4"/>
      <c r="Q202" s="4"/>
      <c r="R202" s="4"/>
      <c r="Y202" s="3"/>
      <c r="Z202" s="3"/>
      <c r="AA202" s="3"/>
      <c r="AB202" s="3"/>
    </row>
    <row r="203">
      <c r="A203" s="4"/>
      <c r="B203" s="4"/>
      <c r="C203" s="4"/>
      <c r="D203" s="4"/>
      <c r="E203" s="4"/>
      <c r="F203" s="4"/>
      <c r="G203" s="4"/>
      <c r="H203" s="4"/>
      <c r="I203" s="4"/>
      <c r="J203" s="4"/>
      <c r="K203" s="4"/>
      <c r="L203" s="4"/>
      <c r="M203" s="4"/>
      <c r="N203" s="4"/>
      <c r="O203" s="4"/>
      <c r="P203" s="4"/>
      <c r="Q203" s="4"/>
      <c r="R203" s="4"/>
      <c r="Y203" s="3"/>
      <c r="Z203" s="3"/>
      <c r="AA203" s="3"/>
      <c r="AB203" s="3"/>
    </row>
    <row r="204">
      <c r="A204" s="4"/>
      <c r="B204" s="4"/>
      <c r="C204" s="4"/>
      <c r="D204" s="4"/>
      <c r="E204" s="4"/>
      <c r="F204" s="4"/>
      <c r="G204" s="4"/>
      <c r="H204" s="4"/>
      <c r="I204" s="4"/>
      <c r="J204" s="4"/>
      <c r="K204" s="4"/>
      <c r="L204" s="4"/>
      <c r="M204" s="4"/>
      <c r="N204" s="4"/>
      <c r="O204" s="4"/>
      <c r="P204" s="4"/>
      <c r="Q204" s="4"/>
      <c r="R204" s="4"/>
      <c r="Y204" s="3"/>
      <c r="Z204" s="3"/>
      <c r="AA204" s="3"/>
      <c r="AB204" s="3"/>
    </row>
    <row r="205">
      <c r="A205" s="4"/>
      <c r="B205" s="4"/>
      <c r="C205" s="4"/>
      <c r="D205" s="4"/>
      <c r="E205" s="4"/>
      <c r="F205" s="4"/>
      <c r="G205" s="4"/>
      <c r="H205" s="4"/>
      <c r="I205" s="4"/>
      <c r="J205" s="4"/>
      <c r="K205" s="4"/>
      <c r="L205" s="4"/>
      <c r="M205" s="4"/>
      <c r="N205" s="4"/>
      <c r="O205" s="4"/>
      <c r="P205" s="4"/>
      <c r="Q205" s="4"/>
      <c r="R205" s="4"/>
      <c r="Y205" s="3"/>
      <c r="Z205" s="3"/>
      <c r="AA205" s="3"/>
      <c r="AB205" s="3"/>
    </row>
    <row r="206">
      <c r="A206" s="4"/>
      <c r="B206" s="4"/>
      <c r="C206" s="4"/>
      <c r="D206" s="4"/>
      <c r="E206" s="4"/>
      <c r="F206" s="4"/>
      <c r="G206" s="4"/>
      <c r="H206" s="4"/>
      <c r="I206" s="4"/>
      <c r="J206" s="4"/>
      <c r="K206" s="4"/>
      <c r="L206" s="4"/>
      <c r="M206" s="4"/>
      <c r="N206" s="4"/>
      <c r="O206" s="4"/>
      <c r="P206" s="4"/>
      <c r="Q206" s="4"/>
      <c r="R206" s="4"/>
      <c r="Y206" s="3"/>
      <c r="Z206" s="3"/>
      <c r="AA206" s="3"/>
      <c r="AB206" s="3"/>
    </row>
    <row r="207">
      <c r="A207" s="4"/>
      <c r="B207" s="4"/>
      <c r="C207" s="4"/>
      <c r="D207" s="4"/>
      <c r="E207" s="4"/>
      <c r="F207" s="4"/>
      <c r="G207" s="4"/>
      <c r="H207" s="4"/>
      <c r="I207" s="4"/>
      <c r="J207" s="4"/>
      <c r="K207" s="4"/>
      <c r="L207" s="4"/>
      <c r="M207" s="4"/>
      <c r="N207" s="4"/>
      <c r="O207" s="4"/>
      <c r="P207" s="4"/>
      <c r="Q207" s="4"/>
      <c r="R207" s="4"/>
      <c r="Y207" s="3"/>
      <c r="Z207" s="3"/>
      <c r="AA207" s="3"/>
      <c r="AB207" s="3"/>
    </row>
    <row r="208">
      <c r="A208" s="4"/>
      <c r="B208" s="4"/>
      <c r="C208" s="4"/>
      <c r="D208" s="4"/>
      <c r="E208" s="4"/>
      <c r="F208" s="4"/>
      <c r="G208" s="4"/>
      <c r="H208" s="4"/>
      <c r="I208" s="4"/>
      <c r="J208" s="4"/>
      <c r="K208" s="4"/>
      <c r="L208" s="4"/>
      <c r="M208" s="4"/>
      <c r="N208" s="4"/>
      <c r="O208" s="4"/>
      <c r="P208" s="4"/>
      <c r="Q208" s="4"/>
      <c r="R208" s="4"/>
      <c r="Y208" s="3"/>
      <c r="Z208" s="3"/>
      <c r="AA208" s="3"/>
      <c r="AB208" s="3"/>
    </row>
    <row r="209">
      <c r="A209" s="4"/>
      <c r="B209" s="4"/>
      <c r="C209" s="4"/>
      <c r="D209" s="4"/>
      <c r="E209" s="4"/>
      <c r="F209" s="4"/>
      <c r="G209" s="4"/>
      <c r="H209" s="4"/>
      <c r="I209" s="4"/>
      <c r="J209" s="4"/>
      <c r="K209" s="4"/>
      <c r="L209" s="4"/>
      <c r="M209" s="4"/>
      <c r="N209" s="4"/>
      <c r="O209" s="4"/>
      <c r="P209" s="4"/>
      <c r="Q209" s="4"/>
      <c r="R209" s="4"/>
      <c r="Y209" s="3"/>
      <c r="Z209" s="3"/>
      <c r="AA209" s="3"/>
      <c r="AB209" s="3"/>
    </row>
    <row r="210">
      <c r="A210" s="4"/>
      <c r="B210" s="4"/>
      <c r="C210" s="4"/>
      <c r="D210" s="4"/>
      <c r="E210" s="4"/>
      <c r="F210" s="4"/>
      <c r="G210" s="4"/>
      <c r="H210" s="4"/>
      <c r="I210" s="4"/>
      <c r="J210" s="4"/>
      <c r="K210" s="4"/>
      <c r="L210" s="4"/>
      <c r="M210" s="4"/>
      <c r="N210" s="4"/>
      <c r="O210" s="4"/>
      <c r="P210" s="4"/>
      <c r="Q210" s="4"/>
      <c r="R210" s="4"/>
      <c r="Y210" s="3"/>
      <c r="Z210" s="3"/>
      <c r="AA210" s="3"/>
      <c r="AB210" s="3"/>
    </row>
    <row r="211">
      <c r="A211" s="4"/>
      <c r="B211" s="4"/>
      <c r="C211" s="4"/>
      <c r="D211" s="4"/>
      <c r="E211" s="4"/>
      <c r="F211" s="4"/>
      <c r="G211" s="4"/>
      <c r="H211" s="4"/>
      <c r="I211" s="4"/>
      <c r="J211" s="4"/>
      <c r="K211" s="4"/>
      <c r="L211" s="4"/>
      <c r="M211" s="4"/>
      <c r="N211" s="4"/>
      <c r="O211" s="4"/>
      <c r="P211" s="4"/>
      <c r="Q211" s="4"/>
      <c r="R211" s="4"/>
      <c r="Y211" s="3"/>
      <c r="Z211" s="3"/>
      <c r="AA211" s="3"/>
      <c r="AB211" s="3"/>
    </row>
    <row r="212">
      <c r="A212" s="4"/>
      <c r="B212" s="4"/>
      <c r="C212" s="4"/>
      <c r="D212" s="4"/>
      <c r="E212" s="4"/>
      <c r="F212" s="4"/>
      <c r="G212" s="4"/>
      <c r="H212" s="4"/>
      <c r="I212" s="4"/>
      <c r="J212" s="4"/>
      <c r="K212" s="4"/>
      <c r="L212" s="4"/>
      <c r="M212" s="4"/>
      <c r="N212" s="4"/>
      <c r="O212" s="4"/>
      <c r="P212" s="4"/>
      <c r="Q212" s="4"/>
      <c r="R212" s="4"/>
      <c r="Y212" s="3"/>
      <c r="Z212" s="3"/>
      <c r="AA212" s="3"/>
      <c r="AB212" s="3"/>
    </row>
    <row r="213">
      <c r="A213" s="4"/>
      <c r="B213" s="4"/>
      <c r="C213" s="4"/>
      <c r="D213" s="4"/>
      <c r="E213" s="4"/>
      <c r="F213" s="4"/>
      <c r="G213" s="4"/>
      <c r="H213" s="4"/>
      <c r="I213" s="4"/>
      <c r="J213" s="4"/>
      <c r="K213" s="4"/>
      <c r="L213" s="4"/>
      <c r="M213" s="4"/>
      <c r="N213" s="4"/>
      <c r="O213" s="4"/>
      <c r="P213" s="4"/>
      <c r="Q213" s="4"/>
      <c r="R213" s="4"/>
      <c r="Y213" s="3"/>
      <c r="Z213" s="3"/>
      <c r="AA213" s="3"/>
      <c r="AB213" s="3"/>
    </row>
    <row r="214">
      <c r="A214" s="4"/>
      <c r="B214" s="4"/>
      <c r="C214" s="4"/>
      <c r="D214" s="4"/>
      <c r="E214" s="4"/>
      <c r="F214" s="4"/>
      <c r="G214" s="4"/>
      <c r="H214" s="4"/>
      <c r="I214" s="4"/>
      <c r="J214" s="4"/>
      <c r="K214" s="4"/>
      <c r="L214" s="4"/>
      <c r="M214" s="4"/>
      <c r="N214" s="4"/>
      <c r="O214" s="4"/>
      <c r="P214" s="4"/>
      <c r="Q214" s="4"/>
      <c r="R214" s="4"/>
      <c r="Y214" s="3"/>
      <c r="Z214" s="3"/>
      <c r="AA214" s="3"/>
      <c r="AB214" s="3"/>
    </row>
    <row r="215">
      <c r="A215" s="4"/>
      <c r="B215" s="4"/>
      <c r="C215" s="4"/>
      <c r="D215" s="4"/>
      <c r="E215" s="4"/>
      <c r="F215" s="4"/>
      <c r="G215" s="4"/>
      <c r="H215" s="4"/>
      <c r="I215" s="4"/>
      <c r="J215" s="4"/>
      <c r="K215" s="4"/>
      <c r="L215" s="4"/>
      <c r="M215" s="4"/>
      <c r="N215" s="4"/>
      <c r="O215" s="4"/>
      <c r="P215" s="4"/>
      <c r="Q215" s="4"/>
      <c r="R215" s="4"/>
      <c r="Y215" s="3"/>
      <c r="Z215" s="3"/>
      <c r="AA215" s="3"/>
      <c r="AB215" s="3"/>
    </row>
    <row r="216">
      <c r="A216" s="4"/>
      <c r="B216" s="4"/>
      <c r="C216" s="4"/>
      <c r="D216" s="4"/>
      <c r="E216" s="4"/>
      <c r="F216" s="4"/>
      <c r="G216" s="4"/>
      <c r="H216" s="4"/>
      <c r="I216" s="4"/>
      <c r="J216" s="4"/>
      <c r="K216" s="4"/>
      <c r="L216" s="4"/>
      <c r="M216" s="4"/>
      <c r="N216" s="4"/>
      <c r="O216" s="4"/>
      <c r="P216" s="4"/>
      <c r="Q216" s="4"/>
      <c r="R216" s="4"/>
      <c r="Y216" s="3"/>
      <c r="Z216" s="3"/>
      <c r="AA216" s="3"/>
      <c r="AB216" s="3"/>
    </row>
    <row r="217">
      <c r="A217" s="4"/>
      <c r="B217" s="4"/>
      <c r="C217" s="4"/>
      <c r="D217" s="4"/>
      <c r="E217" s="4"/>
      <c r="F217" s="4"/>
      <c r="G217" s="4"/>
      <c r="H217" s="4"/>
      <c r="I217" s="4"/>
      <c r="J217" s="4"/>
      <c r="K217" s="4"/>
      <c r="L217" s="4"/>
      <c r="M217" s="4"/>
      <c r="N217" s="4"/>
      <c r="O217" s="4"/>
      <c r="P217" s="4"/>
      <c r="Q217" s="4"/>
      <c r="R217" s="4"/>
      <c r="Y217" s="3"/>
      <c r="Z217" s="3"/>
      <c r="AA217" s="3"/>
      <c r="AB217" s="3"/>
    </row>
    <row r="218">
      <c r="A218" s="4"/>
      <c r="B218" s="4"/>
      <c r="C218" s="4"/>
      <c r="D218" s="4"/>
      <c r="E218" s="4"/>
      <c r="F218" s="4"/>
      <c r="G218" s="4"/>
      <c r="H218" s="4"/>
      <c r="I218" s="4"/>
      <c r="J218" s="4"/>
      <c r="K218" s="4"/>
      <c r="L218" s="4"/>
      <c r="M218" s="4"/>
      <c r="N218" s="4"/>
      <c r="O218" s="4"/>
      <c r="P218" s="4"/>
      <c r="Q218" s="4"/>
      <c r="R218" s="4"/>
      <c r="Y218" s="3"/>
      <c r="Z218" s="3"/>
      <c r="AA218" s="3"/>
      <c r="AB218" s="3"/>
    </row>
    <row r="219">
      <c r="A219" s="4"/>
      <c r="B219" s="4"/>
      <c r="C219" s="4"/>
      <c r="D219" s="4"/>
      <c r="E219" s="4"/>
      <c r="F219" s="4"/>
      <c r="G219" s="4"/>
      <c r="H219" s="4"/>
      <c r="I219" s="4"/>
      <c r="J219" s="4"/>
      <c r="K219" s="4"/>
      <c r="L219" s="4"/>
      <c r="M219" s="4"/>
      <c r="N219" s="4"/>
      <c r="O219" s="4"/>
      <c r="P219" s="4"/>
      <c r="Q219" s="4"/>
      <c r="R219" s="4"/>
      <c r="Y219" s="3"/>
      <c r="Z219" s="3"/>
      <c r="AA219" s="3"/>
      <c r="AB219" s="3"/>
    </row>
    <row r="220">
      <c r="A220" s="4"/>
      <c r="B220" s="4"/>
      <c r="C220" s="4"/>
      <c r="D220" s="4"/>
      <c r="E220" s="4"/>
      <c r="F220" s="4"/>
      <c r="G220" s="4"/>
      <c r="H220" s="4"/>
      <c r="I220" s="4"/>
      <c r="J220" s="4"/>
      <c r="K220" s="4"/>
      <c r="L220" s="4"/>
      <c r="M220" s="4"/>
      <c r="N220" s="4"/>
      <c r="O220" s="4"/>
      <c r="P220" s="4"/>
      <c r="Q220" s="4"/>
      <c r="R220" s="4"/>
      <c r="Y220" s="3"/>
      <c r="Z220" s="3"/>
      <c r="AA220" s="3"/>
      <c r="AB220" s="3"/>
    </row>
    <row r="221">
      <c r="A221" s="4"/>
      <c r="B221" s="4"/>
      <c r="C221" s="4"/>
      <c r="D221" s="4"/>
      <c r="E221" s="4"/>
      <c r="F221" s="4"/>
      <c r="G221" s="4"/>
      <c r="H221" s="4"/>
      <c r="I221" s="4"/>
      <c r="J221" s="4"/>
      <c r="K221" s="4"/>
      <c r="L221" s="4"/>
      <c r="M221" s="4"/>
      <c r="N221" s="4"/>
      <c r="O221" s="4"/>
      <c r="P221" s="4"/>
      <c r="Q221" s="4"/>
      <c r="R221" s="4"/>
      <c r="Y221" s="3"/>
      <c r="Z221" s="3"/>
      <c r="AA221" s="3"/>
      <c r="AB221" s="3"/>
    </row>
    <row r="222">
      <c r="A222" s="4"/>
      <c r="B222" s="4"/>
      <c r="C222" s="4"/>
      <c r="D222" s="4"/>
      <c r="E222" s="4"/>
      <c r="F222" s="4"/>
      <c r="G222" s="4"/>
      <c r="H222" s="4"/>
      <c r="I222" s="4"/>
      <c r="J222" s="4"/>
      <c r="K222" s="4"/>
      <c r="L222" s="4"/>
      <c r="M222" s="4"/>
      <c r="N222" s="4"/>
      <c r="O222" s="4"/>
      <c r="P222" s="4"/>
      <c r="Q222" s="4"/>
      <c r="R222" s="4"/>
      <c r="Y222" s="3"/>
      <c r="Z222" s="3"/>
      <c r="AA222" s="3"/>
      <c r="AB222" s="3"/>
    </row>
    <row r="223">
      <c r="A223" s="4"/>
      <c r="B223" s="4"/>
      <c r="C223" s="4"/>
      <c r="D223" s="4"/>
      <c r="E223" s="4"/>
      <c r="F223" s="4"/>
      <c r="G223" s="4"/>
      <c r="H223" s="4"/>
      <c r="I223" s="4"/>
      <c r="J223" s="4"/>
      <c r="K223" s="4"/>
      <c r="L223" s="4"/>
      <c r="M223" s="4"/>
      <c r="N223" s="4"/>
      <c r="O223" s="4"/>
      <c r="P223" s="4"/>
      <c r="Q223" s="4"/>
      <c r="R223" s="4"/>
      <c r="Y223" s="3"/>
      <c r="Z223" s="3"/>
      <c r="AA223" s="3"/>
      <c r="AB223" s="3"/>
    </row>
    <row r="224">
      <c r="A224" s="4"/>
      <c r="B224" s="4"/>
      <c r="C224" s="4"/>
      <c r="D224" s="4"/>
      <c r="E224" s="4"/>
      <c r="F224" s="4"/>
      <c r="G224" s="4"/>
      <c r="H224" s="4"/>
      <c r="I224" s="4"/>
      <c r="J224" s="4"/>
      <c r="K224" s="4"/>
      <c r="L224" s="4"/>
      <c r="M224" s="4"/>
      <c r="N224" s="4"/>
      <c r="O224" s="4"/>
      <c r="P224" s="4"/>
      <c r="Q224" s="4"/>
      <c r="R224" s="4"/>
      <c r="Y224" s="3"/>
      <c r="Z224" s="3"/>
      <c r="AA224" s="3"/>
      <c r="AB224" s="3"/>
    </row>
    <row r="225">
      <c r="A225" s="4"/>
      <c r="B225" s="4"/>
      <c r="C225" s="4"/>
      <c r="D225" s="4"/>
      <c r="E225" s="4"/>
      <c r="F225" s="4"/>
      <c r="G225" s="4"/>
      <c r="H225" s="4"/>
      <c r="I225" s="4"/>
      <c r="J225" s="4"/>
      <c r="K225" s="4"/>
      <c r="L225" s="4"/>
      <c r="M225" s="4"/>
      <c r="N225" s="4"/>
      <c r="O225" s="4"/>
      <c r="P225" s="4"/>
      <c r="Q225" s="4"/>
      <c r="R225" s="4"/>
      <c r="Y225" s="3"/>
      <c r="Z225" s="3"/>
      <c r="AA225" s="3"/>
      <c r="AB225" s="3"/>
    </row>
    <row r="226">
      <c r="A226" s="4"/>
      <c r="B226" s="4"/>
      <c r="C226" s="4"/>
      <c r="D226" s="4"/>
      <c r="E226" s="4"/>
      <c r="F226" s="4"/>
      <c r="G226" s="4"/>
      <c r="H226" s="4"/>
      <c r="I226" s="4"/>
      <c r="J226" s="4"/>
      <c r="K226" s="4"/>
      <c r="L226" s="4"/>
      <c r="M226" s="4"/>
      <c r="N226" s="4"/>
      <c r="O226" s="4"/>
      <c r="P226" s="4"/>
      <c r="Q226" s="4"/>
      <c r="R226" s="4"/>
      <c r="Y226" s="3"/>
      <c r="Z226" s="3"/>
      <c r="AA226" s="3"/>
      <c r="AB226" s="3"/>
    </row>
    <row r="227">
      <c r="A227" s="4"/>
      <c r="B227" s="4"/>
      <c r="C227" s="4"/>
      <c r="D227" s="4"/>
      <c r="E227" s="4"/>
      <c r="F227" s="4"/>
      <c r="G227" s="4"/>
      <c r="H227" s="4"/>
      <c r="I227" s="4"/>
      <c r="J227" s="4"/>
      <c r="K227" s="4"/>
      <c r="L227" s="4"/>
      <c r="M227" s="4"/>
      <c r="N227" s="4"/>
      <c r="O227" s="4"/>
      <c r="P227" s="4"/>
      <c r="Q227" s="4"/>
      <c r="R227" s="4"/>
      <c r="Y227" s="3"/>
      <c r="Z227" s="3"/>
      <c r="AA227" s="3"/>
      <c r="AB227" s="3"/>
    </row>
    <row r="228">
      <c r="A228" s="4"/>
      <c r="B228" s="4"/>
      <c r="C228" s="4"/>
      <c r="D228" s="4"/>
      <c r="E228" s="4"/>
      <c r="F228" s="4"/>
      <c r="G228" s="4"/>
      <c r="H228" s="4"/>
      <c r="I228" s="4"/>
      <c r="J228" s="4"/>
      <c r="K228" s="4"/>
      <c r="L228" s="4"/>
      <c r="M228" s="4"/>
      <c r="N228" s="4"/>
      <c r="O228" s="4"/>
      <c r="P228" s="4"/>
      <c r="Q228" s="4"/>
      <c r="R228" s="4"/>
      <c r="Y228" s="3"/>
      <c r="Z228" s="3"/>
      <c r="AA228" s="3"/>
      <c r="AB228" s="3"/>
    </row>
    <row r="229">
      <c r="A229" s="4"/>
      <c r="B229" s="4"/>
      <c r="C229" s="4"/>
      <c r="D229" s="4"/>
      <c r="E229" s="4"/>
      <c r="F229" s="4"/>
      <c r="G229" s="4"/>
      <c r="H229" s="4"/>
      <c r="I229" s="4"/>
      <c r="J229" s="4"/>
      <c r="K229" s="4"/>
      <c r="L229" s="4"/>
      <c r="M229" s="4"/>
      <c r="N229" s="4"/>
      <c r="O229" s="4"/>
      <c r="P229" s="4"/>
      <c r="Q229" s="4"/>
      <c r="R229" s="4"/>
      <c r="Y229" s="3"/>
      <c r="Z229" s="3"/>
      <c r="AA229" s="3"/>
      <c r="AB229" s="3"/>
    </row>
    <row r="230">
      <c r="A230" s="4"/>
      <c r="B230" s="4"/>
      <c r="C230" s="4"/>
      <c r="D230" s="4"/>
      <c r="E230" s="4"/>
      <c r="F230" s="4"/>
      <c r="G230" s="4"/>
      <c r="H230" s="4"/>
      <c r="I230" s="4"/>
      <c r="J230" s="4"/>
      <c r="K230" s="4"/>
      <c r="L230" s="4"/>
      <c r="M230" s="4"/>
      <c r="N230" s="4"/>
      <c r="O230" s="4"/>
      <c r="P230" s="4"/>
      <c r="Q230" s="4"/>
      <c r="R230" s="4"/>
      <c r="Y230" s="3"/>
      <c r="Z230" s="3"/>
      <c r="AA230" s="3"/>
      <c r="AB230" s="3"/>
    </row>
    <row r="231">
      <c r="A231" s="4"/>
      <c r="B231" s="4"/>
      <c r="C231" s="4"/>
      <c r="D231" s="4"/>
      <c r="E231" s="4"/>
      <c r="F231" s="4"/>
      <c r="G231" s="4"/>
      <c r="H231" s="4"/>
      <c r="I231" s="4"/>
      <c r="J231" s="4"/>
      <c r="K231" s="4"/>
      <c r="L231" s="4"/>
      <c r="M231" s="4"/>
      <c r="N231" s="4"/>
      <c r="O231" s="4"/>
      <c r="P231" s="4"/>
      <c r="Q231" s="4"/>
      <c r="R231" s="4"/>
      <c r="Y231" s="3"/>
      <c r="Z231" s="3"/>
      <c r="AA231" s="3"/>
      <c r="AB231" s="3"/>
    </row>
    <row r="232">
      <c r="A232" s="4"/>
      <c r="B232" s="4"/>
      <c r="C232" s="4"/>
      <c r="D232" s="4"/>
      <c r="E232" s="4"/>
      <c r="F232" s="4"/>
      <c r="G232" s="4"/>
      <c r="H232" s="4"/>
      <c r="I232" s="4"/>
      <c r="J232" s="4"/>
      <c r="K232" s="4"/>
      <c r="L232" s="4"/>
      <c r="M232" s="4"/>
      <c r="N232" s="4"/>
      <c r="O232" s="4"/>
      <c r="P232" s="4"/>
      <c r="Q232" s="4"/>
      <c r="R232" s="4"/>
      <c r="Y232" s="3"/>
      <c r="Z232" s="3"/>
      <c r="AA232" s="3"/>
      <c r="AB232" s="3"/>
    </row>
    <row r="233">
      <c r="A233" s="4"/>
      <c r="B233" s="4"/>
      <c r="C233" s="4"/>
      <c r="D233" s="4"/>
      <c r="E233" s="4"/>
      <c r="F233" s="4"/>
      <c r="G233" s="4"/>
      <c r="H233" s="4"/>
      <c r="I233" s="4"/>
      <c r="J233" s="4"/>
      <c r="K233" s="4"/>
      <c r="L233" s="4"/>
      <c r="M233" s="4"/>
      <c r="N233" s="4"/>
      <c r="O233" s="4"/>
      <c r="P233" s="4"/>
      <c r="Q233" s="4"/>
      <c r="R233" s="4"/>
      <c r="Y233" s="3"/>
      <c r="Z233" s="3"/>
      <c r="AA233" s="3"/>
      <c r="AB233" s="3"/>
    </row>
    <row r="234">
      <c r="A234" s="4"/>
      <c r="B234" s="4"/>
      <c r="C234" s="4"/>
      <c r="D234" s="4"/>
      <c r="E234" s="4"/>
      <c r="F234" s="4"/>
      <c r="G234" s="4"/>
      <c r="H234" s="4"/>
      <c r="I234" s="4"/>
      <c r="J234" s="4"/>
      <c r="K234" s="4"/>
      <c r="L234" s="4"/>
      <c r="M234" s="4"/>
      <c r="N234" s="4"/>
      <c r="O234" s="4"/>
      <c r="P234" s="4"/>
      <c r="Q234" s="4"/>
      <c r="R234" s="4"/>
      <c r="Y234" s="3"/>
      <c r="Z234" s="3"/>
      <c r="AA234" s="3"/>
      <c r="AB234" s="3"/>
    </row>
    <row r="235">
      <c r="A235" s="4"/>
      <c r="B235" s="4"/>
      <c r="C235" s="4"/>
      <c r="D235" s="4"/>
      <c r="E235" s="4"/>
      <c r="F235" s="4"/>
      <c r="G235" s="4"/>
      <c r="H235" s="4"/>
      <c r="I235" s="4"/>
      <c r="J235" s="4"/>
      <c r="K235" s="4"/>
      <c r="L235" s="4"/>
      <c r="M235" s="4"/>
      <c r="N235" s="4"/>
      <c r="O235" s="4"/>
      <c r="P235" s="4"/>
      <c r="Q235" s="4"/>
      <c r="R235" s="4"/>
      <c r="Y235" s="3"/>
      <c r="Z235" s="3"/>
      <c r="AA235" s="3"/>
      <c r="AB235" s="3"/>
    </row>
    <row r="236">
      <c r="A236" s="4"/>
      <c r="B236" s="4"/>
      <c r="C236" s="4"/>
      <c r="D236" s="4"/>
      <c r="E236" s="4"/>
      <c r="F236" s="4"/>
      <c r="G236" s="4"/>
      <c r="H236" s="4"/>
      <c r="I236" s="4"/>
      <c r="J236" s="4"/>
      <c r="K236" s="4"/>
      <c r="L236" s="4"/>
      <c r="M236" s="4"/>
      <c r="N236" s="4"/>
      <c r="O236" s="4"/>
      <c r="P236" s="4"/>
      <c r="Q236" s="4"/>
      <c r="R236" s="4"/>
      <c r="Y236" s="3"/>
      <c r="Z236" s="3"/>
      <c r="AA236" s="3"/>
      <c r="AB236" s="3"/>
    </row>
    <row r="237">
      <c r="A237" s="4"/>
      <c r="B237" s="4"/>
      <c r="C237" s="4"/>
      <c r="D237" s="4"/>
      <c r="E237" s="4"/>
      <c r="F237" s="4"/>
      <c r="G237" s="4"/>
      <c r="H237" s="4"/>
      <c r="I237" s="4"/>
      <c r="J237" s="4"/>
      <c r="K237" s="4"/>
      <c r="L237" s="4"/>
      <c r="M237" s="4"/>
      <c r="N237" s="4"/>
      <c r="O237" s="4"/>
      <c r="P237" s="4"/>
      <c r="Q237" s="4"/>
      <c r="R237" s="4"/>
      <c r="Y237" s="3"/>
      <c r="Z237" s="3"/>
      <c r="AA237" s="3"/>
      <c r="AB237" s="3"/>
    </row>
    <row r="238">
      <c r="A238" s="4"/>
      <c r="B238" s="4"/>
      <c r="C238" s="4"/>
      <c r="D238" s="4"/>
      <c r="E238" s="4"/>
      <c r="F238" s="4"/>
      <c r="G238" s="4"/>
      <c r="H238" s="4"/>
      <c r="I238" s="4"/>
      <c r="J238" s="4"/>
      <c r="K238" s="4"/>
      <c r="L238" s="4"/>
      <c r="M238" s="4"/>
      <c r="N238" s="4"/>
      <c r="O238" s="4"/>
      <c r="P238" s="4"/>
      <c r="Q238" s="4"/>
      <c r="R238" s="4"/>
      <c r="Y238" s="3"/>
      <c r="Z238" s="3"/>
      <c r="AA238" s="3"/>
      <c r="AB238" s="3"/>
    </row>
    <row r="239">
      <c r="A239" s="4"/>
      <c r="B239" s="4"/>
      <c r="C239" s="4"/>
      <c r="D239" s="4"/>
      <c r="E239" s="4"/>
      <c r="F239" s="4"/>
      <c r="G239" s="4"/>
      <c r="H239" s="4"/>
      <c r="I239" s="4"/>
      <c r="J239" s="4"/>
      <c r="K239" s="4"/>
      <c r="L239" s="4"/>
      <c r="M239" s="4"/>
      <c r="N239" s="4"/>
      <c r="O239" s="4"/>
      <c r="P239" s="4"/>
      <c r="Q239" s="4"/>
      <c r="R239" s="4"/>
      <c r="Y239" s="3"/>
      <c r="Z239" s="3"/>
      <c r="AA239" s="3"/>
      <c r="AB239" s="3"/>
    </row>
    <row r="240">
      <c r="A240" s="4"/>
      <c r="B240" s="4"/>
      <c r="C240" s="4"/>
      <c r="D240" s="4"/>
      <c r="E240" s="4"/>
      <c r="F240" s="4"/>
      <c r="G240" s="4"/>
      <c r="H240" s="4"/>
      <c r="I240" s="4"/>
      <c r="J240" s="4"/>
      <c r="K240" s="4"/>
      <c r="L240" s="4"/>
      <c r="M240" s="4"/>
      <c r="N240" s="4"/>
      <c r="O240" s="4"/>
      <c r="P240" s="4"/>
      <c r="Q240" s="4"/>
      <c r="R240" s="4"/>
      <c r="Y240" s="3"/>
      <c r="Z240" s="3"/>
      <c r="AA240" s="3"/>
      <c r="AB240" s="3"/>
    </row>
    <row r="241">
      <c r="A241" s="4"/>
      <c r="B241" s="4"/>
      <c r="C241" s="4"/>
      <c r="D241" s="4"/>
      <c r="E241" s="4"/>
      <c r="F241" s="4"/>
      <c r="G241" s="4"/>
      <c r="H241" s="4"/>
      <c r="I241" s="4"/>
      <c r="J241" s="4"/>
      <c r="K241" s="4"/>
      <c r="L241" s="4"/>
      <c r="M241" s="4"/>
      <c r="N241" s="4"/>
      <c r="O241" s="4"/>
      <c r="P241" s="4"/>
      <c r="Q241" s="4"/>
      <c r="R241" s="4"/>
      <c r="Y241" s="3"/>
      <c r="Z241" s="3"/>
      <c r="AA241" s="3"/>
      <c r="AB241" s="3"/>
    </row>
    <row r="242">
      <c r="A242" s="4"/>
      <c r="B242" s="4"/>
      <c r="C242" s="4"/>
      <c r="D242" s="4"/>
      <c r="E242" s="4"/>
      <c r="F242" s="4"/>
      <c r="G242" s="4"/>
      <c r="H242" s="4"/>
      <c r="I242" s="4"/>
      <c r="J242" s="4"/>
      <c r="K242" s="4"/>
      <c r="L242" s="4"/>
      <c r="M242" s="4"/>
      <c r="N242" s="4"/>
      <c r="O242" s="4"/>
      <c r="P242" s="4"/>
      <c r="Q242" s="4"/>
      <c r="R242" s="4"/>
      <c r="Y242" s="3"/>
      <c r="Z242" s="3"/>
      <c r="AA242" s="3"/>
      <c r="AB242" s="3"/>
    </row>
    <row r="243">
      <c r="A243" s="4"/>
      <c r="B243" s="4"/>
      <c r="C243" s="4"/>
      <c r="D243" s="4"/>
      <c r="E243" s="4"/>
      <c r="F243" s="4"/>
      <c r="G243" s="4"/>
      <c r="H243" s="4"/>
      <c r="I243" s="4"/>
      <c r="J243" s="4"/>
      <c r="K243" s="4"/>
      <c r="L243" s="4"/>
      <c r="M243" s="4"/>
      <c r="N243" s="4"/>
      <c r="O243" s="4"/>
      <c r="P243" s="4"/>
      <c r="Q243" s="4"/>
      <c r="R243" s="4"/>
      <c r="Y243" s="3"/>
      <c r="Z243" s="3"/>
      <c r="AA243" s="3"/>
      <c r="AB243" s="3"/>
    </row>
    <row r="244">
      <c r="A244" s="4"/>
      <c r="B244" s="4"/>
      <c r="C244" s="4"/>
      <c r="D244" s="4"/>
      <c r="E244" s="4"/>
      <c r="F244" s="4"/>
      <c r="G244" s="4"/>
      <c r="H244" s="4"/>
      <c r="I244" s="4"/>
      <c r="J244" s="4"/>
      <c r="K244" s="4"/>
      <c r="L244" s="4"/>
      <c r="M244" s="4"/>
      <c r="N244" s="4"/>
      <c r="O244" s="4"/>
      <c r="P244" s="4"/>
      <c r="Q244" s="4"/>
      <c r="R244" s="4"/>
      <c r="Y244" s="3"/>
      <c r="Z244" s="3"/>
      <c r="AA244" s="3"/>
      <c r="AB244" s="3"/>
    </row>
    <row r="245">
      <c r="A245" s="4"/>
      <c r="B245" s="4"/>
      <c r="C245" s="4"/>
      <c r="D245" s="4"/>
      <c r="E245" s="4"/>
      <c r="F245" s="4"/>
      <c r="G245" s="4"/>
      <c r="H245" s="4"/>
      <c r="I245" s="4"/>
      <c r="J245" s="4"/>
      <c r="K245" s="4"/>
      <c r="L245" s="4"/>
      <c r="M245" s="4"/>
      <c r="N245" s="4"/>
      <c r="O245" s="4"/>
      <c r="P245" s="4"/>
      <c r="Q245" s="4"/>
      <c r="R245" s="4"/>
      <c r="Y245" s="3"/>
      <c r="Z245" s="3"/>
      <c r="AA245" s="3"/>
      <c r="AB245" s="3"/>
    </row>
    <row r="246">
      <c r="A246" s="4"/>
      <c r="B246" s="4"/>
      <c r="C246" s="4"/>
      <c r="D246" s="4"/>
      <c r="E246" s="4"/>
      <c r="F246" s="4"/>
      <c r="G246" s="4"/>
      <c r="H246" s="4"/>
      <c r="I246" s="4"/>
      <c r="J246" s="4"/>
      <c r="K246" s="4"/>
      <c r="L246" s="4"/>
      <c r="M246" s="4"/>
      <c r="N246" s="4"/>
      <c r="O246" s="4"/>
      <c r="P246" s="4"/>
      <c r="Q246" s="4"/>
      <c r="R246" s="4"/>
      <c r="Y246" s="3"/>
      <c r="Z246" s="3"/>
      <c r="AA246" s="3"/>
      <c r="AB246" s="3"/>
    </row>
    <row r="247">
      <c r="A247" s="4"/>
      <c r="B247" s="4"/>
      <c r="C247" s="4"/>
      <c r="D247" s="4"/>
      <c r="E247" s="4"/>
      <c r="F247" s="4"/>
      <c r="G247" s="4"/>
      <c r="H247" s="4"/>
      <c r="I247" s="4"/>
      <c r="J247" s="4"/>
      <c r="K247" s="4"/>
      <c r="L247" s="4"/>
      <c r="M247" s="4"/>
      <c r="N247" s="4"/>
      <c r="O247" s="4"/>
      <c r="P247" s="4"/>
      <c r="Q247" s="4"/>
      <c r="R247" s="4"/>
      <c r="Y247" s="3"/>
      <c r="Z247" s="3"/>
      <c r="AA247" s="3"/>
      <c r="AB247" s="3"/>
    </row>
    <row r="248">
      <c r="A248" s="4"/>
      <c r="B248" s="4"/>
      <c r="C248" s="4"/>
      <c r="D248" s="4"/>
      <c r="E248" s="4"/>
      <c r="F248" s="4"/>
      <c r="G248" s="4"/>
      <c r="H248" s="4"/>
      <c r="I248" s="4"/>
      <c r="J248" s="4"/>
      <c r="K248" s="4"/>
      <c r="L248" s="4"/>
      <c r="M248" s="4"/>
      <c r="N248" s="4"/>
      <c r="O248" s="4"/>
      <c r="P248" s="4"/>
      <c r="Q248" s="4"/>
      <c r="R248" s="4"/>
      <c r="Y248" s="3"/>
      <c r="Z248" s="3"/>
      <c r="AA248" s="3"/>
      <c r="AB248" s="3"/>
    </row>
    <row r="249">
      <c r="A249" s="4"/>
      <c r="B249" s="4"/>
      <c r="C249" s="4"/>
      <c r="D249" s="4"/>
      <c r="E249" s="4"/>
      <c r="F249" s="4"/>
      <c r="G249" s="4"/>
      <c r="H249" s="4"/>
      <c r="I249" s="4"/>
      <c r="J249" s="4"/>
      <c r="K249" s="4"/>
      <c r="L249" s="4"/>
      <c r="M249" s="4"/>
      <c r="N249" s="4"/>
      <c r="O249" s="4"/>
      <c r="P249" s="4"/>
      <c r="Q249" s="4"/>
      <c r="R249" s="4"/>
      <c r="Y249" s="3"/>
      <c r="Z249" s="3"/>
      <c r="AA249" s="3"/>
      <c r="AB249" s="3"/>
    </row>
    <row r="250">
      <c r="A250" s="4"/>
      <c r="B250" s="4"/>
      <c r="C250" s="4"/>
      <c r="D250" s="4"/>
      <c r="E250" s="4"/>
      <c r="F250" s="4"/>
      <c r="G250" s="4"/>
      <c r="H250" s="4"/>
      <c r="I250" s="4"/>
      <c r="J250" s="4"/>
      <c r="K250" s="4"/>
      <c r="L250" s="4"/>
      <c r="M250" s="4"/>
      <c r="N250" s="4"/>
      <c r="O250" s="4"/>
      <c r="P250" s="4"/>
      <c r="Q250" s="4"/>
      <c r="R250" s="4"/>
      <c r="Y250" s="3"/>
      <c r="Z250" s="3"/>
      <c r="AA250" s="3"/>
      <c r="AB250" s="3"/>
    </row>
    <row r="251">
      <c r="A251" s="4"/>
      <c r="B251" s="4"/>
      <c r="C251" s="4"/>
      <c r="D251" s="4"/>
      <c r="E251" s="4"/>
      <c r="F251" s="4"/>
      <c r="G251" s="4"/>
      <c r="H251" s="4"/>
      <c r="I251" s="4"/>
      <c r="J251" s="4"/>
      <c r="K251" s="4"/>
      <c r="L251" s="4"/>
      <c r="M251" s="4"/>
      <c r="N251" s="4"/>
      <c r="O251" s="4"/>
      <c r="P251" s="4"/>
      <c r="Q251" s="4"/>
      <c r="R251" s="4"/>
      <c r="Y251" s="3"/>
      <c r="Z251" s="3"/>
      <c r="AA251" s="3"/>
      <c r="AB251" s="3"/>
    </row>
    <row r="252">
      <c r="A252" s="4"/>
      <c r="B252" s="4"/>
      <c r="C252" s="4"/>
      <c r="D252" s="4"/>
      <c r="E252" s="4"/>
      <c r="F252" s="4"/>
      <c r="G252" s="4"/>
      <c r="H252" s="4"/>
      <c r="I252" s="4"/>
      <c r="J252" s="4"/>
      <c r="K252" s="4"/>
      <c r="L252" s="4"/>
      <c r="M252" s="4"/>
      <c r="N252" s="4"/>
      <c r="O252" s="4"/>
      <c r="P252" s="4"/>
      <c r="Q252" s="4"/>
      <c r="R252" s="4"/>
      <c r="Y252" s="3"/>
      <c r="Z252" s="3"/>
      <c r="AA252" s="3"/>
      <c r="AB252" s="3"/>
    </row>
    <row r="253">
      <c r="A253" s="4"/>
      <c r="B253" s="4"/>
      <c r="C253" s="4"/>
      <c r="D253" s="4"/>
      <c r="E253" s="4"/>
      <c r="F253" s="4"/>
      <c r="G253" s="4"/>
      <c r="H253" s="4"/>
      <c r="I253" s="4"/>
      <c r="J253" s="4"/>
      <c r="K253" s="4"/>
      <c r="L253" s="4"/>
      <c r="M253" s="4"/>
      <c r="N253" s="4"/>
      <c r="O253" s="4"/>
      <c r="P253" s="4"/>
      <c r="Q253" s="4"/>
      <c r="R253" s="4"/>
      <c r="Y253" s="3"/>
      <c r="Z253" s="3"/>
      <c r="AA253" s="3"/>
      <c r="AB253" s="3"/>
    </row>
    <row r="254">
      <c r="A254" s="4"/>
      <c r="B254" s="4"/>
      <c r="C254" s="4"/>
      <c r="D254" s="4"/>
      <c r="E254" s="4"/>
      <c r="F254" s="4"/>
      <c r="G254" s="4"/>
      <c r="H254" s="4"/>
      <c r="I254" s="4"/>
      <c r="J254" s="4"/>
      <c r="K254" s="4"/>
      <c r="L254" s="4"/>
      <c r="M254" s="4"/>
      <c r="N254" s="4"/>
      <c r="O254" s="4"/>
      <c r="P254" s="4"/>
      <c r="Q254" s="4"/>
      <c r="R254" s="4"/>
      <c r="Y254" s="3"/>
      <c r="Z254" s="3"/>
      <c r="AA254" s="3"/>
      <c r="AB254" s="3"/>
    </row>
    <row r="255">
      <c r="A255" s="4"/>
      <c r="B255" s="4"/>
      <c r="C255" s="4"/>
      <c r="D255" s="4"/>
      <c r="E255" s="4"/>
      <c r="F255" s="4"/>
      <c r="G255" s="4"/>
      <c r="H255" s="4"/>
      <c r="I255" s="4"/>
      <c r="J255" s="4"/>
      <c r="K255" s="4"/>
      <c r="L255" s="4"/>
      <c r="M255" s="4"/>
      <c r="N255" s="4"/>
      <c r="O255" s="4"/>
      <c r="P255" s="4"/>
      <c r="Q255" s="4"/>
      <c r="R255" s="4"/>
      <c r="Y255" s="3"/>
      <c r="Z255" s="3"/>
      <c r="AA255" s="3"/>
      <c r="AB255" s="3"/>
    </row>
    <row r="256">
      <c r="A256" s="4"/>
      <c r="B256" s="4"/>
      <c r="C256" s="4"/>
      <c r="D256" s="4"/>
      <c r="E256" s="4"/>
      <c r="F256" s="4"/>
      <c r="G256" s="4"/>
      <c r="H256" s="4"/>
      <c r="I256" s="4"/>
      <c r="J256" s="4"/>
      <c r="K256" s="4"/>
      <c r="L256" s="4"/>
      <c r="M256" s="4"/>
      <c r="N256" s="4"/>
      <c r="O256" s="4"/>
      <c r="P256" s="4"/>
      <c r="Q256" s="4"/>
      <c r="R256" s="4"/>
      <c r="Y256" s="3"/>
      <c r="Z256" s="3"/>
      <c r="AA256" s="3"/>
      <c r="AB256" s="3"/>
    </row>
    <row r="257">
      <c r="A257" s="4"/>
      <c r="B257" s="4"/>
      <c r="C257" s="4"/>
      <c r="D257" s="4"/>
      <c r="E257" s="4"/>
      <c r="F257" s="4"/>
      <c r="G257" s="4"/>
      <c r="H257" s="4"/>
      <c r="I257" s="4"/>
      <c r="J257" s="4"/>
      <c r="K257" s="4"/>
      <c r="L257" s="4"/>
      <c r="M257" s="4"/>
      <c r="N257" s="4"/>
      <c r="O257" s="4"/>
      <c r="P257" s="4"/>
      <c r="Q257" s="4"/>
      <c r="R257" s="4"/>
      <c r="Y257" s="3"/>
      <c r="Z257" s="3"/>
      <c r="AA257" s="3"/>
      <c r="AB257" s="3"/>
    </row>
    <row r="258">
      <c r="A258" s="4"/>
      <c r="B258" s="4"/>
      <c r="C258" s="4"/>
      <c r="D258" s="4"/>
      <c r="E258" s="4"/>
      <c r="F258" s="4"/>
      <c r="G258" s="4"/>
      <c r="H258" s="4"/>
      <c r="I258" s="4"/>
      <c r="J258" s="4"/>
      <c r="K258" s="4"/>
      <c r="L258" s="4"/>
      <c r="M258" s="4"/>
      <c r="N258" s="4"/>
      <c r="O258" s="4"/>
      <c r="P258" s="4"/>
      <c r="Q258" s="4"/>
      <c r="R258" s="4"/>
      <c r="Y258" s="3"/>
      <c r="Z258" s="3"/>
      <c r="AA258" s="3"/>
      <c r="AB258" s="3"/>
    </row>
    <row r="259">
      <c r="A259" s="4"/>
      <c r="B259" s="4"/>
      <c r="C259" s="4"/>
      <c r="D259" s="4"/>
      <c r="E259" s="4"/>
      <c r="F259" s="4"/>
      <c r="G259" s="4"/>
      <c r="H259" s="4"/>
      <c r="I259" s="4"/>
      <c r="J259" s="4"/>
      <c r="K259" s="4"/>
      <c r="L259" s="4"/>
      <c r="M259" s="4"/>
      <c r="N259" s="4"/>
      <c r="O259" s="4"/>
      <c r="P259" s="4"/>
      <c r="Q259" s="4"/>
      <c r="R259" s="4"/>
      <c r="Y259" s="3"/>
      <c r="Z259" s="3"/>
      <c r="AA259" s="3"/>
      <c r="AB259" s="3"/>
    </row>
    <row r="260">
      <c r="A260" s="4"/>
      <c r="B260" s="4"/>
      <c r="C260" s="4"/>
      <c r="D260" s="4"/>
      <c r="E260" s="4"/>
      <c r="F260" s="4"/>
      <c r="G260" s="4"/>
      <c r="H260" s="4"/>
      <c r="I260" s="4"/>
      <c r="J260" s="4"/>
      <c r="K260" s="4"/>
      <c r="L260" s="4"/>
      <c r="M260" s="4"/>
      <c r="N260" s="4"/>
      <c r="O260" s="4"/>
      <c r="P260" s="4"/>
      <c r="Q260" s="4"/>
      <c r="R260" s="4"/>
      <c r="Y260" s="3"/>
      <c r="Z260" s="3"/>
      <c r="AA260" s="3"/>
      <c r="AB260" s="3"/>
    </row>
    <row r="261">
      <c r="A261" s="4"/>
      <c r="B261" s="4"/>
      <c r="C261" s="4"/>
      <c r="D261" s="4"/>
      <c r="E261" s="4"/>
      <c r="F261" s="4"/>
      <c r="G261" s="4"/>
      <c r="H261" s="4"/>
      <c r="I261" s="4"/>
      <c r="J261" s="4"/>
      <c r="K261" s="4"/>
      <c r="L261" s="4"/>
      <c r="M261" s="4"/>
      <c r="N261" s="4"/>
      <c r="O261" s="4"/>
      <c r="P261" s="4"/>
      <c r="Q261" s="4"/>
      <c r="R261" s="4"/>
      <c r="Y261" s="3"/>
      <c r="Z261" s="3"/>
      <c r="AA261" s="3"/>
      <c r="AB261" s="3"/>
    </row>
    <row r="262">
      <c r="A262" s="4"/>
      <c r="B262" s="4"/>
      <c r="C262" s="4"/>
      <c r="D262" s="4"/>
      <c r="E262" s="4"/>
      <c r="F262" s="4"/>
      <c r="G262" s="4"/>
      <c r="H262" s="4"/>
      <c r="I262" s="4"/>
      <c r="J262" s="4"/>
      <c r="K262" s="4"/>
      <c r="L262" s="4"/>
      <c r="M262" s="4"/>
      <c r="N262" s="4"/>
      <c r="O262" s="4"/>
      <c r="P262" s="4"/>
      <c r="Q262" s="4"/>
      <c r="R262" s="4"/>
      <c r="Y262" s="3"/>
      <c r="Z262" s="3"/>
      <c r="AA262" s="3"/>
      <c r="AB262" s="3"/>
    </row>
    <row r="263">
      <c r="A263" s="4"/>
      <c r="B263" s="4"/>
      <c r="C263" s="4"/>
      <c r="D263" s="4"/>
      <c r="E263" s="4"/>
      <c r="F263" s="4"/>
      <c r="G263" s="4"/>
      <c r="H263" s="4"/>
      <c r="I263" s="4"/>
      <c r="J263" s="4"/>
      <c r="K263" s="4"/>
      <c r="L263" s="4"/>
      <c r="M263" s="4"/>
      <c r="N263" s="4"/>
      <c r="O263" s="4"/>
      <c r="P263" s="4"/>
      <c r="Q263" s="4"/>
      <c r="R263" s="4"/>
      <c r="Y263" s="3"/>
      <c r="Z263" s="3"/>
      <c r="AA263" s="3"/>
      <c r="AB263" s="3"/>
    </row>
    <row r="264">
      <c r="A264" s="4"/>
      <c r="B264" s="4"/>
      <c r="C264" s="4"/>
      <c r="D264" s="4"/>
      <c r="E264" s="4"/>
      <c r="F264" s="4"/>
      <c r="G264" s="4"/>
      <c r="H264" s="4"/>
      <c r="I264" s="4"/>
      <c r="J264" s="4"/>
      <c r="K264" s="4"/>
      <c r="L264" s="4"/>
      <c r="M264" s="4"/>
      <c r="N264" s="4"/>
      <c r="O264" s="4"/>
      <c r="P264" s="4"/>
      <c r="Q264" s="4"/>
      <c r="R264" s="4"/>
      <c r="Y264" s="3"/>
      <c r="Z264" s="3"/>
      <c r="AA264" s="3"/>
      <c r="AB264" s="3"/>
    </row>
    <row r="265">
      <c r="A265" s="4"/>
      <c r="B265" s="4"/>
      <c r="C265" s="4"/>
      <c r="D265" s="4"/>
      <c r="E265" s="4"/>
      <c r="F265" s="4"/>
      <c r="G265" s="4"/>
      <c r="H265" s="4"/>
      <c r="I265" s="4"/>
      <c r="J265" s="4"/>
      <c r="K265" s="4"/>
      <c r="L265" s="4"/>
      <c r="M265" s="4"/>
      <c r="N265" s="4"/>
      <c r="O265" s="4"/>
      <c r="P265" s="4"/>
      <c r="Q265" s="4"/>
      <c r="R265" s="4"/>
      <c r="Y265" s="3"/>
      <c r="Z265" s="3"/>
      <c r="AA265" s="3"/>
      <c r="AB265" s="3"/>
    </row>
    <row r="266">
      <c r="A266" s="4"/>
      <c r="B266" s="4"/>
      <c r="C266" s="4"/>
      <c r="D266" s="4"/>
      <c r="E266" s="4"/>
      <c r="F266" s="4"/>
      <c r="G266" s="4"/>
      <c r="H266" s="4"/>
      <c r="I266" s="4"/>
      <c r="J266" s="4"/>
      <c r="K266" s="4"/>
      <c r="L266" s="4"/>
      <c r="M266" s="4"/>
      <c r="N266" s="4"/>
      <c r="O266" s="4"/>
      <c r="P266" s="4"/>
      <c r="Q266" s="4"/>
      <c r="R266" s="4"/>
      <c r="Y266" s="3"/>
      <c r="Z266" s="3"/>
      <c r="AA266" s="3"/>
      <c r="AB266" s="3"/>
    </row>
    <row r="267">
      <c r="A267" s="4"/>
      <c r="B267" s="4"/>
      <c r="C267" s="4"/>
      <c r="D267" s="4"/>
      <c r="E267" s="4"/>
      <c r="F267" s="4"/>
      <c r="G267" s="4"/>
      <c r="H267" s="4"/>
      <c r="I267" s="4"/>
      <c r="J267" s="4"/>
      <c r="K267" s="4"/>
      <c r="L267" s="4"/>
      <c r="M267" s="4"/>
      <c r="N267" s="4"/>
      <c r="O267" s="4"/>
      <c r="P267" s="4"/>
      <c r="Q267" s="4"/>
      <c r="R267" s="4"/>
      <c r="Y267" s="3"/>
      <c r="Z267" s="3"/>
      <c r="AA267" s="3"/>
      <c r="AB267" s="3"/>
    </row>
    <row r="268">
      <c r="A268" s="4"/>
      <c r="B268" s="4"/>
      <c r="C268" s="4"/>
      <c r="D268" s="4"/>
      <c r="E268" s="4"/>
      <c r="F268" s="4"/>
      <c r="G268" s="4"/>
      <c r="H268" s="4"/>
      <c r="I268" s="4"/>
      <c r="J268" s="4"/>
      <c r="K268" s="4"/>
      <c r="L268" s="4"/>
      <c r="M268" s="4"/>
      <c r="N268" s="4"/>
      <c r="O268" s="4"/>
      <c r="P268" s="4"/>
      <c r="Q268" s="4"/>
      <c r="R268" s="4"/>
      <c r="Y268" s="3"/>
      <c r="Z268" s="3"/>
      <c r="AA268" s="3"/>
      <c r="AB268" s="3"/>
    </row>
    <row r="269">
      <c r="A269" s="4"/>
      <c r="B269" s="4"/>
      <c r="C269" s="4"/>
      <c r="D269" s="4"/>
      <c r="E269" s="4"/>
      <c r="F269" s="4"/>
      <c r="G269" s="4"/>
      <c r="H269" s="4"/>
      <c r="I269" s="4"/>
      <c r="J269" s="4"/>
      <c r="K269" s="4"/>
      <c r="L269" s="4"/>
      <c r="M269" s="4"/>
      <c r="N269" s="4"/>
      <c r="O269" s="4"/>
      <c r="P269" s="4"/>
      <c r="Q269" s="4"/>
      <c r="R269" s="4"/>
      <c r="Y269" s="3"/>
      <c r="Z269" s="3"/>
      <c r="AA269" s="3"/>
      <c r="AB269" s="3"/>
    </row>
    <row r="270">
      <c r="A270" s="4"/>
      <c r="B270" s="4"/>
      <c r="C270" s="4"/>
      <c r="D270" s="4"/>
      <c r="E270" s="4"/>
      <c r="F270" s="4"/>
      <c r="G270" s="4"/>
      <c r="H270" s="4"/>
      <c r="I270" s="4"/>
      <c r="J270" s="4"/>
      <c r="K270" s="4"/>
      <c r="L270" s="4"/>
      <c r="M270" s="4"/>
      <c r="N270" s="4"/>
      <c r="O270" s="4"/>
      <c r="P270" s="4"/>
      <c r="Q270" s="4"/>
      <c r="R270" s="4"/>
      <c r="Y270" s="3"/>
      <c r="Z270" s="3"/>
      <c r="AA270" s="3"/>
      <c r="AB270" s="3"/>
    </row>
    <row r="271">
      <c r="A271" s="4"/>
      <c r="B271" s="4"/>
      <c r="C271" s="4"/>
      <c r="D271" s="4"/>
      <c r="E271" s="4"/>
      <c r="F271" s="4"/>
      <c r="G271" s="4"/>
      <c r="H271" s="4"/>
      <c r="I271" s="4"/>
      <c r="J271" s="4"/>
      <c r="K271" s="4"/>
      <c r="L271" s="4"/>
      <c r="M271" s="4"/>
      <c r="N271" s="4"/>
      <c r="O271" s="4"/>
      <c r="P271" s="4"/>
      <c r="Q271" s="4"/>
      <c r="R271" s="4"/>
      <c r="Y271" s="3"/>
      <c r="Z271" s="3"/>
      <c r="AA271" s="3"/>
      <c r="AB271" s="3"/>
    </row>
    <row r="272">
      <c r="A272" s="4"/>
      <c r="B272" s="4"/>
      <c r="C272" s="4"/>
      <c r="D272" s="4"/>
      <c r="E272" s="4"/>
      <c r="F272" s="4"/>
      <c r="G272" s="4"/>
      <c r="H272" s="4"/>
      <c r="I272" s="4"/>
      <c r="J272" s="4"/>
      <c r="K272" s="4"/>
      <c r="L272" s="4"/>
      <c r="M272" s="4"/>
      <c r="N272" s="4"/>
      <c r="O272" s="4"/>
      <c r="P272" s="4"/>
      <c r="Q272" s="4"/>
      <c r="R272" s="4"/>
      <c r="Y272" s="3"/>
      <c r="Z272" s="3"/>
      <c r="AA272" s="3"/>
      <c r="AB272" s="3"/>
    </row>
    <row r="273">
      <c r="A273" s="4"/>
      <c r="B273" s="4"/>
      <c r="C273" s="4"/>
      <c r="D273" s="4"/>
      <c r="E273" s="4"/>
      <c r="F273" s="4"/>
      <c r="G273" s="4"/>
      <c r="H273" s="4"/>
      <c r="I273" s="4"/>
      <c r="J273" s="4"/>
      <c r="K273" s="4"/>
      <c r="L273" s="4"/>
      <c r="M273" s="4"/>
      <c r="N273" s="4"/>
      <c r="O273" s="4"/>
      <c r="P273" s="4"/>
      <c r="Q273" s="4"/>
      <c r="R273" s="4"/>
      <c r="Y273" s="3"/>
      <c r="Z273" s="3"/>
      <c r="AA273" s="3"/>
      <c r="AB273" s="3"/>
    </row>
    <row r="274">
      <c r="A274" s="4"/>
      <c r="B274" s="4"/>
      <c r="C274" s="4"/>
      <c r="D274" s="4"/>
      <c r="E274" s="4"/>
      <c r="F274" s="4"/>
      <c r="G274" s="4"/>
      <c r="H274" s="4"/>
      <c r="I274" s="4"/>
      <c r="J274" s="4"/>
      <c r="K274" s="4"/>
      <c r="L274" s="4"/>
      <c r="M274" s="4"/>
      <c r="N274" s="4"/>
      <c r="O274" s="4"/>
      <c r="P274" s="4"/>
      <c r="Q274" s="4"/>
      <c r="R274" s="4"/>
      <c r="Y274" s="3"/>
      <c r="Z274" s="3"/>
      <c r="AA274" s="3"/>
      <c r="AB274" s="3"/>
    </row>
    <row r="275">
      <c r="A275" s="4"/>
      <c r="B275" s="4"/>
      <c r="C275" s="4"/>
      <c r="D275" s="4"/>
      <c r="E275" s="4"/>
      <c r="F275" s="4"/>
      <c r="G275" s="4"/>
      <c r="H275" s="4"/>
      <c r="I275" s="4"/>
      <c r="J275" s="4"/>
      <c r="K275" s="4"/>
      <c r="L275" s="4"/>
      <c r="M275" s="4"/>
      <c r="N275" s="4"/>
      <c r="O275" s="4"/>
      <c r="P275" s="4"/>
      <c r="Q275" s="4"/>
      <c r="R275" s="4"/>
      <c r="Y275" s="3"/>
      <c r="Z275" s="3"/>
      <c r="AA275" s="3"/>
      <c r="AB275" s="3"/>
    </row>
    <row r="276">
      <c r="A276" s="4"/>
      <c r="B276" s="4"/>
      <c r="C276" s="4"/>
      <c r="D276" s="4"/>
      <c r="E276" s="4"/>
      <c r="F276" s="4"/>
      <c r="G276" s="4"/>
      <c r="H276" s="4"/>
      <c r="I276" s="4"/>
      <c r="J276" s="4"/>
      <c r="K276" s="4"/>
      <c r="L276" s="4"/>
      <c r="M276" s="4"/>
      <c r="N276" s="4"/>
      <c r="O276" s="4"/>
      <c r="P276" s="4"/>
      <c r="Q276" s="4"/>
      <c r="R276" s="4"/>
      <c r="Y276" s="3"/>
      <c r="Z276" s="3"/>
      <c r="AA276" s="3"/>
      <c r="AB276" s="3"/>
    </row>
    <row r="277">
      <c r="A277" s="4"/>
      <c r="B277" s="4"/>
      <c r="C277" s="4"/>
      <c r="D277" s="4"/>
      <c r="E277" s="4"/>
      <c r="F277" s="4"/>
      <c r="G277" s="4"/>
      <c r="H277" s="4"/>
      <c r="I277" s="4"/>
      <c r="J277" s="4"/>
      <c r="K277" s="4"/>
      <c r="L277" s="4"/>
      <c r="M277" s="4"/>
      <c r="N277" s="4"/>
      <c r="O277" s="4"/>
      <c r="P277" s="4"/>
      <c r="Q277" s="4"/>
      <c r="R277" s="4"/>
      <c r="Y277" s="3"/>
      <c r="Z277" s="3"/>
      <c r="AA277" s="3"/>
      <c r="AB277" s="3"/>
    </row>
    <row r="278">
      <c r="A278" s="4"/>
      <c r="B278" s="4"/>
      <c r="C278" s="4"/>
      <c r="D278" s="4"/>
      <c r="E278" s="4"/>
      <c r="F278" s="4"/>
      <c r="G278" s="4"/>
      <c r="H278" s="4"/>
      <c r="I278" s="4"/>
      <c r="J278" s="4"/>
      <c r="K278" s="4"/>
      <c r="L278" s="4"/>
      <c r="M278" s="4"/>
      <c r="N278" s="4"/>
      <c r="O278" s="4"/>
      <c r="P278" s="4"/>
      <c r="Q278" s="4"/>
      <c r="R278" s="4"/>
      <c r="Y278" s="3"/>
      <c r="Z278" s="3"/>
      <c r="AA278" s="3"/>
      <c r="AB278" s="3"/>
    </row>
    <row r="279">
      <c r="A279" s="4"/>
      <c r="B279" s="4"/>
      <c r="C279" s="4"/>
      <c r="D279" s="4"/>
      <c r="E279" s="4"/>
      <c r="F279" s="4"/>
      <c r="G279" s="4"/>
      <c r="H279" s="4"/>
      <c r="I279" s="4"/>
      <c r="J279" s="4"/>
      <c r="K279" s="4"/>
      <c r="L279" s="4"/>
      <c r="M279" s="4"/>
      <c r="N279" s="4"/>
      <c r="O279" s="4"/>
      <c r="P279" s="4"/>
      <c r="Q279" s="4"/>
      <c r="R279" s="4"/>
      <c r="Y279" s="3"/>
      <c r="Z279" s="3"/>
      <c r="AA279" s="3"/>
      <c r="AB279" s="3"/>
    </row>
    <row r="280">
      <c r="A280" s="4"/>
      <c r="B280" s="4"/>
      <c r="C280" s="4"/>
      <c r="D280" s="4"/>
      <c r="E280" s="4"/>
      <c r="F280" s="4"/>
      <c r="G280" s="4"/>
      <c r="H280" s="4"/>
      <c r="I280" s="4"/>
      <c r="J280" s="4"/>
      <c r="K280" s="4"/>
      <c r="L280" s="4"/>
      <c r="M280" s="4"/>
      <c r="N280" s="4"/>
      <c r="O280" s="4"/>
      <c r="P280" s="4"/>
      <c r="Q280" s="4"/>
      <c r="R280" s="4"/>
      <c r="Y280" s="3"/>
      <c r="Z280" s="3"/>
      <c r="AA280" s="3"/>
      <c r="AB280" s="3"/>
    </row>
    <row r="281">
      <c r="A281" s="4"/>
      <c r="B281" s="4"/>
      <c r="C281" s="4"/>
      <c r="D281" s="4"/>
      <c r="E281" s="4"/>
      <c r="F281" s="4"/>
      <c r="G281" s="4"/>
      <c r="H281" s="4"/>
      <c r="I281" s="4"/>
      <c r="J281" s="4"/>
      <c r="K281" s="4"/>
      <c r="L281" s="4"/>
      <c r="M281" s="4"/>
      <c r="N281" s="4"/>
      <c r="O281" s="4"/>
      <c r="P281" s="4"/>
      <c r="Q281" s="4"/>
      <c r="R281" s="4"/>
      <c r="Y281" s="3"/>
      <c r="Z281" s="3"/>
      <c r="AA281" s="3"/>
      <c r="AB281" s="3"/>
    </row>
    <row r="282">
      <c r="A282" s="4"/>
      <c r="B282" s="4"/>
      <c r="C282" s="4"/>
      <c r="D282" s="4"/>
      <c r="E282" s="4"/>
      <c r="F282" s="4"/>
      <c r="G282" s="4"/>
      <c r="H282" s="4"/>
      <c r="I282" s="4"/>
      <c r="J282" s="4"/>
      <c r="K282" s="4"/>
      <c r="L282" s="4"/>
      <c r="M282" s="4"/>
      <c r="N282" s="4"/>
      <c r="O282" s="4"/>
      <c r="P282" s="4"/>
      <c r="Q282" s="4"/>
      <c r="R282" s="4"/>
      <c r="Y282" s="3"/>
      <c r="Z282" s="3"/>
      <c r="AA282" s="3"/>
      <c r="AB282" s="3"/>
    </row>
    <row r="283">
      <c r="A283" s="4"/>
      <c r="B283" s="4"/>
      <c r="C283" s="4"/>
      <c r="D283" s="4"/>
      <c r="E283" s="4"/>
      <c r="F283" s="4"/>
      <c r="G283" s="4"/>
      <c r="H283" s="4"/>
      <c r="I283" s="4"/>
      <c r="J283" s="4"/>
      <c r="K283" s="4"/>
      <c r="L283" s="4"/>
      <c r="M283" s="4"/>
      <c r="N283" s="4"/>
      <c r="O283" s="4"/>
      <c r="P283" s="4"/>
      <c r="Q283" s="4"/>
      <c r="R283" s="4"/>
      <c r="Y283" s="3"/>
      <c r="Z283" s="3"/>
      <c r="AA283" s="3"/>
      <c r="AB283" s="3"/>
    </row>
    <row r="284">
      <c r="A284" s="4"/>
      <c r="B284" s="4"/>
      <c r="C284" s="4"/>
      <c r="D284" s="4"/>
      <c r="E284" s="4"/>
      <c r="F284" s="4"/>
      <c r="G284" s="4"/>
      <c r="H284" s="4"/>
      <c r="I284" s="4"/>
      <c r="J284" s="4"/>
      <c r="K284" s="4"/>
      <c r="L284" s="4"/>
      <c r="M284" s="4"/>
      <c r="N284" s="4"/>
      <c r="O284" s="4"/>
      <c r="P284" s="4"/>
      <c r="Q284" s="4"/>
      <c r="R284" s="4"/>
      <c r="Y284" s="3"/>
      <c r="Z284" s="3"/>
      <c r="AA284" s="3"/>
      <c r="AB284" s="3"/>
    </row>
    <row r="285">
      <c r="A285" s="4"/>
      <c r="B285" s="4"/>
      <c r="C285" s="4"/>
      <c r="D285" s="4"/>
      <c r="E285" s="4"/>
      <c r="F285" s="4"/>
      <c r="G285" s="4"/>
      <c r="H285" s="4"/>
      <c r="I285" s="4"/>
      <c r="J285" s="4"/>
      <c r="K285" s="4"/>
      <c r="L285" s="4"/>
      <c r="M285" s="4"/>
      <c r="N285" s="4"/>
      <c r="O285" s="4"/>
      <c r="P285" s="4"/>
      <c r="Q285" s="4"/>
      <c r="R285" s="4"/>
      <c r="Y285" s="3"/>
      <c r="Z285" s="3"/>
      <c r="AA285" s="3"/>
      <c r="AB285" s="3"/>
    </row>
    <row r="286">
      <c r="A286" s="4"/>
      <c r="B286" s="4"/>
      <c r="C286" s="4"/>
      <c r="D286" s="4"/>
      <c r="E286" s="4"/>
      <c r="F286" s="4"/>
      <c r="G286" s="4"/>
      <c r="H286" s="4"/>
      <c r="I286" s="4"/>
      <c r="J286" s="4"/>
      <c r="K286" s="4"/>
      <c r="L286" s="4"/>
      <c r="M286" s="4"/>
      <c r="N286" s="4"/>
      <c r="O286" s="4"/>
      <c r="P286" s="4"/>
      <c r="Q286" s="4"/>
      <c r="R286" s="4"/>
      <c r="Y286" s="3"/>
      <c r="Z286" s="3"/>
      <c r="AA286" s="3"/>
      <c r="AB286" s="3"/>
    </row>
    <row r="287">
      <c r="A287" s="4"/>
      <c r="B287" s="4"/>
      <c r="C287" s="4"/>
      <c r="D287" s="4"/>
      <c r="E287" s="4"/>
      <c r="F287" s="4"/>
      <c r="G287" s="4"/>
      <c r="H287" s="4"/>
      <c r="I287" s="4"/>
      <c r="J287" s="4"/>
      <c r="K287" s="4"/>
      <c r="L287" s="4"/>
      <c r="M287" s="4"/>
      <c r="N287" s="4"/>
      <c r="O287" s="4"/>
      <c r="P287" s="4"/>
      <c r="Q287" s="4"/>
      <c r="R287" s="4"/>
      <c r="Y287" s="3"/>
      <c r="Z287" s="3"/>
      <c r="AA287" s="3"/>
      <c r="AB287" s="3"/>
    </row>
    <row r="288">
      <c r="A288" s="4"/>
      <c r="B288" s="4"/>
      <c r="C288" s="4"/>
      <c r="D288" s="4"/>
      <c r="E288" s="4"/>
      <c r="F288" s="4"/>
      <c r="G288" s="4"/>
      <c r="H288" s="4"/>
      <c r="I288" s="4"/>
      <c r="J288" s="4"/>
      <c r="K288" s="4"/>
      <c r="L288" s="4"/>
      <c r="M288" s="4"/>
      <c r="N288" s="4"/>
      <c r="O288" s="4"/>
      <c r="P288" s="4"/>
      <c r="Q288" s="4"/>
      <c r="R288" s="4"/>
      <c r="Y288" s="3"/>
      <c r="Z288" s="3"/>
      <c r="AA288" s="3"/>
      <c r="AB288" s="3"/>
    </row>
    <row r="289">
      <c r="A289" s="4"/>
      <c r="B289" s="4"/>
      <c r="C289" s="4"/>
      <c r="D289" s="4"/>
      <c r="E289" s="4"/>
      <c r="F289" s="4"/>
      <c r="G289" s="4"/>
      <c r="H289" s="4"/>
      <c r="I289" s="4"/>
      <c r="J289" s="4"/>
      <c r="K289" s="4"/>
      <c r="L289" s="4"/>
      <c r="M289" s="4"/>
      <c r="N289" s="4"/>
      <c r="O289" s="4"/>
      <c r="P289" s="4"/>
      <c r="Q289" s="4"/>
      <c r="R289" s="4"/>
      <c r="Y289" s="3"/>
      <c r="Z289" s="3"/>
      <c r="AA289" s="3"/>
      <c r="AB289" s="3"/>
    </row>
    <row r="290">
      <c r="A290" s="4"/>
      <c r="B290" s="4"/>
      <c r="C290" s="4"/>
      <c r="D290" s="4"/>
      <c r="E290" s="4"/>
      <c r="F290" s="4"/>
      <c r="G290" s="4"/>
      <c r="H290" s="4"/>
      <c r="I290" s="4"/>
      <c r="J290" s="4"/>
      <c r="K290" s="4"/>
      <c r="L290" s="4"/>
      <c r="M290" s="4"/>
      <c r="N290" s="4"/>
      <c r="O290" s="4"/>
      <c r="P290" s="4"/>
      <c r="Q290" s="4"/>
      <c r="R290" s="4"/>
      <c r="Y290" s="3"/>
      <c r="Z290" s="3"/>
      <c r="AA290" s="3"/>
      <c r="AB290" s="3"/>
    </row>
    <row r="291">
      <c r="A291" s="4"/>
      <c r="B291" s="4"/>
      <c r="C291" s="4"/>
      <c r="D291" s="4"/>
      <c r="E291" s="4"/>
      <c r="F291" s="4"/>
      <c r="G291" s="4"/>
      <c r="H291" s="4"/>
      <c r="I291" s="4"/>
      <c r="J291" s="4"/>
      <c r="K291" s="4"/>
      <c r="L291" s="4"/>
      <c r="M291" s="4"/>
      <c r="N291" s="4"/>
      <c r="O291" s="4"/>
      <c r="P291" s="4"/>
      <c r="Q291" s="4"/>
      <c r="R291" s="4"/>
      <c r="Y291" s="3"/>
      <c r="Z291" s="3"/>
      <c r="AA291" s="3"/>
      <c r="AB291" s="3"/>
    </row>
    <row r="292">
      <c r="A292" s="4"/>
      <c r="B292" s="4"/>
      <c r="C292" s="4"/>
      <c r="D292" s="4"/>
      <c r="E292" s="4"/>
      <c r="F292" s="4"/>
      <c r="G292" s="4"/>
      <c r="H292" s="4"/>
      <c r="I292" s="4"/>
      <c r="J292" s="4"/>
      <c r="K292" s="4"/>
      <c r="L292" s="4"/>
      <c r="M292" s="4"/>
      <c r="N292" s="4"/>
      <c r="O292" s="4"/>
      <c r="P292" s="4"/>
      <c r="Q292" s="4"/>
      <c r="R292" s="4"/>
      <c r="Y292" s="3"/>
      <c r="Z292" s="3"/>
      <c r="AA292" s="3"/>
      <c r="AB292" s="3"/>
    </row>
    <row r="293">
      <c r="A293" s="4"/>
      <c r="B293" s="4"/>
      <c r="C293" s="4"/>
      <c r="D293" s="4"/>
      <c r="E293" s="4"/>
      <c r="F293" s="4"/>
      <c r="G293" s="4"/>
      <c r="H293" s="4"/>
      <c r="I293" s="4"/>
      <c r="J293" s="4"/>
      <c r="K293" s="4"/>
      <c r="L293" s="4"/>
      <c r="M293" s="4"/>
      <c r="N293" s="4"/>
      <c r="O293" s="4"/>
      <c r="P293" s="4"/>
      <c r="Q293" s="4"/>
      <c r="R293" s="4"/>
      <c r="Y293" s="3"/>
      <c r="Z293" s="3"/>
      <c r="AA293" s="3"/>
      <c r="AB293" s="3"/>
    </row>
    <row r="294">
      <c r="A294" s="4"/>
      <c r="B294" s="4"/>
      <c r="C294" s="4"/>
      <c r="D294" s="4"/>
      <c r="E294" s="4"/>
      <c r="F294" s="4"/>
      <c r="G294" s="4"/>
      <c r="H294" s="4"/>
      <c r="I294" s="4"/>
      <c r="J294" s="4"/>
      <c r="K294" s="4"/>
      <c r="L294" s="4"/>
      <c r="M294" s="4"/>
      <c r="N294" s="4"/>
      <c r="O294" s="4"/>
      <c r="P294" s="4"/>
      <c r="Q294" s="4"/>
      <c r="R294" s="4"/>
      <c r="Y294" s="3"/>
      <c r="Z294" s="3"/>
      <c r="AA294" s="3"/>
      <c r="AB294" s="3"/>
    </row>
    <row r="295">
      <c r="A295" s="4"/>
      <c r="B295" s="4"/>
      <c r="C295" s="4"/>
      <c r="D295" s="4"/>
      <c r="E295" s="4"/>
      <c r="F295" s="4"/>
      <c r="G295" s="4"/>
      <c r="H295" s="4"/>
      <c r="I295" s="4"/>
      <c r="J295" s="4"/>
      <c r="K295" s="4"/>
      <c r="L295" s="4"/>
      <c r="M295" s="4"/>
      <c r="N295" s="4"/>
      <c r="O295" s="4"/>
      <c r="P295" s="4"/>
      <c r="Q295" s="4"/>
      <c r="R295" s="4"/>
      <c r="Y295" s="3"/>
      <c r="Z295" s="3"/>
      <c r="AA295" s="3"/>
      <c r="AB295" s="3"/>
    </row>
    <row r="296">
      <c r="A296" s="4"/>
      <c r="B296" s="4"/>
      <c r="C296" s="4"/>
      <c r="D296" s="4"/>
      <c r="E296" s="4"/>
      <c r="F296" s="4"/>
      <c r="G296" s="4"/>
      <c r="H296" s="4"/>
      <c r="I296" s="4"/>
      <c r="J296" s="4"/>
      <c r="K296" s="4"/>
      <c r="L296" s="4"/>
      <c r="M296" s="4"/>
      <c r="N296" s="4"/>
      <c r="O296" s="4"/>
      <c r="P296" s="4"/>
      <c r="Q296" s="4"/>
      <c r="R296" s="4"/>
      <c r="Y296" s="3"/>
      <c r="Z296" s="3"/>
      <c r="AA296" s="3"/>
      <c r="AB296" s="3"/>
    </row>
    <row r="297">
      <c r="A297" s="4"/>
      <c r="B297" s="4"/>
      <c r="C297" s="4"/>
      <c r="D297" s="4"/>
      <c r="E297" s="4"/>
      <c r="F297" s="4"/>
      <c r="G297" s="4"/>
      <c r="H297" s="4"/>
      <c r="I297" s="4"/>
      <c r="J297" s="4"/>
      <c r="K297" s="4"/>
      <c r="L297" s="4"/>
      <c r="M297" s="4"/>
      <c r="N297" s="4"/>
      <c r="O297" s="4"/>
      <c r="P297" s="4"/>
      <c r="Q297" s="4"/>
      <c r="R297" s="4"/>
      <c r="Y297" s="3"/>
      <c r="Z297" s="3"/>
      <c r="AA297" s="3"/>
      <c r="AB297" s="3"/>
    </row>
    <row r="298">
      <c r="A298" s="4"/>
      <c r="B298" s="4"/>
      <c r="C298" s="4"/>
      <c r="D298" s="4"/>
      <c r="E298" s="4"/>
      <c r="F298" s="4"/>
      <c r="G298" s="4"/>
      <c r="H298" s="4"/>
      <c r="I298" s="4"/>
      <c r="J298" s="4"/>
      <c r="K298" s="4"/>
      <c r="L298" s="4"/>
      <c r="M298" s="4"/>
      <c r="N298" s="4"/>
      <c r="O298" s="4"/>
      <c r="P298" s="4"/>
      <c r="Q298" s="4"/>
      <c r="R298" s="4"/>
      <c r="Y298" s="3"/>
      <c r="Z298" s="3"/>
      <c r="AA298" s="3"/>
      <c r="AB298" s="3"/>
    </row>
    <row r="299">
      <c r="A299" s="4"/>
      <c r="B299" s="4"/>
      <c r="C299" s="4"/>
      <c r="D299" s="4"/>
      <c r="E299" s="4"/>
      <c r="F299" s="4"/>
      <c r="G299" s="4"/>
      <c r="H299" s="4"/>
      <c r="I299" s="4"/>
      <c r="J299" s="4"/>
      <c r="K299" s="4"/>
      <c r="L299" s="4"/>
      <c r="M299" s="4"/>
      <c r="N299" s="4"/>
      <c r="O299" s="4"/>
      <c r="P299" s="4"/>
      <c r="Q299" s="4"/>
      <c r="R299" s="4"/>
      <c r="Y299" s="3"/>
      <c r="Z299" s="3"/>
      <c r="AA299" s="3"/>
      <c r="AB299" s="3"/>
    </row>
    <row r="300">
      <c r="A300" s="4"/>
      <c r="B300" s="4"/>
      <c r="C300" s="4"/>
      <c r="D300" s="4"/>
      <c r="E300" s="4"/>
      <c r="F300" s="4"/>
      <c r="G300" s="4"/>
      <c r="H300" s="4"/>
      <c r="I300" s="4"/>
      <c r="J300" s="4"/>
      <c r="K300" s="4"/>
      <c r="L300" s="4"/>
      <c r="M300" s="4"/>
      <c r="N300" s="4"/>
      <c r="O300" s="4"/>
      <c r="P300" s="4"/>
      <c r="Q300" s="4"/>
      <c r="R300" s="4"/>
      <c r="Y300" s="3"/>
      <c r="Z300" s="3"/>
      <c r="AA300" s="3"/>
      <c r="AB300" s="3"/>
    </row>
    <row r="301">
      <c r="A301" s="4"/>
      <c r="B301" s="4"/>
      <c r="C301" s="4"/>
      <c r="D301" s="4"/>
      <c r="E301" s="4"/>
      <c r="F301" s="4"/>
      <c r="G301" s="4"/>
      <c r="H301" s="4"/>
      <c r="I301" s="4"/>
      <c r="J301" s="4"/>
      <c r="K301" s="4"/>
      <c r="L301" s="4"/>
      <c r="M301" s="4"/>
      <c r="N301" s="4"/>
      <c r="O301" s="4"/>
      <c r="P301" s="4"/>
      <c r="Q301" s="4"/>
      <c r="R301" s="4"/>
      <c r="Y301" s="3"/>
      <c r="Z301" s="3"/>
      <c r="AA301" s="3"/>
      <c r="AB301" s="3"/>
    </row>
    <row r="302">
      <c r="A302" s="4"/>
      <c r="B302" s="4"/>
      <c r="C302" s="4"/>
      <c r="D302" s="4"/>
      <c r="E302" s="4"/>
      <c r="F302" s="4"/>
      <c r="G302" s="4"/>
      <c r="H302" s="4"/>
      <c r="I302" s="4"/>
      <c r="J302" s="4"/>
      <c r="K302" s="4"/>
      <c r="L302" s="4"/>
      <c r="M302" s="4"/>
      <c r="N302" s="4"/>
      <c r="O302" s="4"/>
      <c r="P302" s="4"/>
      <c r="Q302" s="4"/>
      <c r="R302" s="4"/>
      <c r="Y302" s="3"/>
      <c r="Z302" s="3"/>
      <c r="AA302" s="3"/>
      <c r="AB302" s="3"/>
    </row>
    <row r="303">
      <c r="A303" s="4"/>
      <c r="B303" s="4"/>
      <c r="C303" s="4"/>
      <c r="D303" s="4"/>
      <c r="E303" s="4"/>
      <c r="F303" s="4"/>
      <c r="G303" s="4"/>
      <c r="H303" s="4"/>
      <c r="I303" s="4"/>
      <c r="J303" s="4"/>
      <c r="K303" s="4"/>
      <c r="L303" s="4"/>
      <c r="M303" s="4"/>
      <c r="N303" s="4"/>
      <c r="O303" s="4"/>
      <c r="P303" s="4"/>
      <c r="Q303" s="4"/>
      <c r="R303" s="4"/>
      <c r="Y303" s="3"/>
      <c r="Z303" s="3"/>
      <c r="AA303" s="3"/>
      <c r="AB303" s="3"/>
    </row>
    <row r="304">
      <c r="A304" s="4"/>
      <c r="B304" s="4"/>
      <c r="C304" s="4"/>
      <c r="D304" s="4"/>
      <c r="E304" s="4"/>
      <c r="F304" s="4"/>
      <c r="G304" s="4"/>
      <c r="H304" s="4"/>
      <c r="I304" s="4"/>
      <c r="J304" s="4"/>
      <c r="K304" s="4"/>
      <c r="L304" s="4"/>
      <c r="M304" s="4"/>
      <c r="N304" s="4"/>
      <c r="O304" s="4"/>
      <c r="P304" s="4"/>
      <c r="Q304" s="4"/>
      <c r="R304" s="4"/>
      <c r="Y304" s="3"/>
      <c r="Z304" s="3"/>
      <c r="AA304" s="3"/>
      <c r="AB304" s="3"/>
    </row>
    <row r="305">
      <c r="A305" s="4"/>
      <c r="B305" s="4"/>
      <c r="C305" s="4"/>
      <c r="D305" s="4"/>
      <c r="E305" s="4"/>
      <c r="F305" s="4"/>
      <c r="G305" s="4"/>
      <c r="H305" s="4"/>
      <c r="I305" s="4"/>
      <c r="J305" s="4"/>
      <c r="K305" s="4"/>
      <c r="L305" s="4"/>
      <c r="M305" s="4"/>
      <c r="N305" s="4"/>
      <c r="O305" s="4"/>
      <c r="P305" s="4"/>
      <c r="Q305" s="4"/>
      <c r="R305" s="4"/>
      <c r="Y305" s="3"/>
      <c r="Z305" s="3"/>
      <c r="AA305" s="3"/>
      <c r="AB305" s="3"/>
    </row>
    <row r="306">
      <c r="A306" s="4"/>
      <c r="B306" s="4"/>
      <c r="C306" s="4"/>
      <c r="D306" s="4"/>
      <c r="E306" s="4"/>
      <c r="F306" s="4"/>
      <c r="G306" s="4"/>
      <c r="H306" s="4"/>
      <c r="I306" s="4"/>
      <c r="J306" s="4"/>
      <c r="K306" s="4"/>
      <c r="L306" s="4"/>
      <c r="M306" s="4"/>
      <c r="N306" s="4"/>
      <c r="O306" s="4"/>
      <c r="P306" s="4"/>
      <c r="Q306" s="4"/>
      <c r="R306" s="4"/>
      <c r="Y306" s="3"/>
      <c r="Z306" s="3"/>
      <c r="AA306" s="3"/>
      <c r="AB306" s="3"/>
    </row>
    <row r="307">
      <c r="A307" s="4"/>
      <c r="B307" s="4"/>
      <c r="C307" s="4"/>
      <c r="D307" s="4"/>
      <c r="E307" s="4"/>
      <c r="F307" s="4"/>
      <c r="G307" s="4"/>
      <c r="H307" s="4"/>
      <c r="I307" s="4"/>
      <c r="J307" s="4"/>
      <c r="K307" s="4"/>
      <c r="L307" s="4"/>
      <c r="M307" s="4"/>
      <c r="N307" s="4"/>
      <c r="O307" s="4"/>
      <c r="P307" s="4"/>
      <c r="Q307" s="4"/>
      <c r="R307" s="4"/>
      <c r="Y307" s="3"/>
      <c r="Z307" s="3"/>
      <c r="AA307" s="3"/>
      <c r="AB307" s="3"/>
    </row>
    <row r="308">
      <c r="A308" s="4"/>
      <c r="B308" s="4"/>
      <c r="C308" s="4"/>
      <c r="D308" s="4"/>
      <c r="E308" s="4"/>
      <c r="F308" s="4"/>
      <c r="G308" s="4"/>
      <c r="H308" s="4"/>
      <c r="I308" s="4"/>
      <c r="J308" s="4"/>
      <c r="K308" s="4"/>
      <c r="L308" s="4"/>
      <c r="M308" s="4"/>
      <c r="N308" s="4"/>
      <c r="O308" s="4"/>
      <c r="P308" s="4"/>
      <c r="Q308" s="4"/>
      <c r="R308" s="4"/>
      <c r="Y308" s="3"/>
      <c r="Z308" s="3"/>
      <c r="AA308" s="3"/>
      <c r="AB308" s="3"/>
    </row>
    <row r="309">
      <c r="A309" s="4"/>
      <c r="B309" s="4"/>
      <c r="C309" s="4"/>
      <c r="D309" s="4"/>
      <c r="E309" s="4"/>
      <c r="F309" s="4"/>
      <c r="G309" s="4"/>
      <c r="H309" s="4"/>
      <c r="I309" s="4"/>
      <c r="J309" s="4"/>
      <c r="K309" s="4"/>
      <c r="L309" s="4"/>
      <c r="M309" s="4"/>
      <c r="N309" s="4"/>
      <c r="O309" s="4"/>
      <c r="P309" s="4"/>
      <c r="Q309" s="4"/>
      <c r="R309" s="4"/>
      <c r="Y309" s="3"/>
      <c r="Z309" s="3"/>
      <c r="AA309" s="3"/>
      <c r="AB309" s="3"/>
    </row>
    <row r="310">
      <c r="A310" s="4"/>
      <c r="B310" s="4"/>
      <c r="C310" s="4"/>
      <c r="D310" s="4"/>
      <c r="E310" s="4"/>
      <c r="F310" s="4"/>
      <c r="G310" s="4"/>
      <c r="H310" s="4"/>
      <c r="I310" s="4"/>
      <c r="J310" s="4"/>
      <c r="K310" s="4"/>
      <c r="L310" s="4"/>
      <c r="M310" s="4"/>
      <c r="N310" s="4"/>
      <c r="O310" s="4"/>
      <c r="P310" s="4"/>
      <c r="Q310" s="4"/>
      <c r="R310" s="4"/>
      <c r="Y310" s="3"/>
      <c r="Z310" s="3"/>
      <c r="AA310" s="3"/>
      <c r="AB310" s="3"/>
    </row>
    <row r="311">
      <c r="A311" s="4"/>
      <c r="B311" s="4"/>
      <c r="C311" s="4"/>
      <c r="D311" s="4"/>
      <c r="E311" s="4"/>
      <c r="F311" s="4"/>
      <c r="G311" s="4"/>
      <c r="H311" s="4"/>
      <c r="I311" s="4"/>
      <c r="J311" s="4"/>
      <c r="K311" s="4"/>
      <c r="L311" s="4"/>
      <c r="M311" s="4"/>
      <c r="N311" s="4"/>
      <c r="O311" s="4"/>
      <c r="P311" s="4"/>
      <c r="Q311" s="4"/>
      <c r="R311" s="4"/>
      <c r="Y311" s="3"/>
      <c r="Z311" s="3"/>
      <c r="AA311" s="3"/>
      <c r="AB311" s="3"/>
    </row>
    <row r="312">
      <c r="A312" s="4"/>
      <c r="B312" s="4"/>
      <c r="C312" s="4"/>
      <c r="D312" s="4"/>
      <c r="E312" s="4"/>
      <c r="F312" s="4"/>
      <c r="G312" s="4"/>
      <c r="H312" s="4"/>
      <c r="I312" s="4"/>
      <c r="J312" s="4"/>
      <c r="K312" s="4"/>
      <c r="L312" s="4"/>
      <c r="M312" s="4"/>
      <c r="N312" s="4"/>
      <c r="O312" s="4"/>
      <c r="P312" s="4"/>
      <c r="Q312" s="4"/>
      <c r="R312" s="4"/>
      <c r="Y312" s="3"/>
      <c r="Z312" s="3"/>
      <c r="AA312" s="3"/>
      <c r="AB312" s="3"/>
    </row>
    <row r="313">
      <c r="A313" s="4"/>
      <c r="B313" s="4"/>
      <c r="C313" s="4"/>
      <c r="D313" s="4"/>
      <c r="E313" s="4"/>
      <c r="F313" s="4"/>
      <c r="G313" s="4"/>
      <c r="H313" s="4"/>
      <c r="I313" s="4"/>
      <c r="J313" s="4"/>
      <c r="K313" s="4"/>
      <c r="L313" s="4"/>
      <c r="M313" s="4"/>
      <c r="N313" s="4"/>
      <c r="O313" s="4"/>
      <c r="P313" s="4"/>
      <c r="Q313" s="4"/>
      <c r="R313" s="4"/>
      <c r="Y313" s="3"/>
      <c r="Z313" s="3"/>
      <c r="AA313" s="3"/>
      <c r="AB313" s="3"/>
    </row>
    <row r="314">
      <c r="A314" s="4"/>
      <c r="B314" s="4"/>
      <c r="C314" s="4"/>
      <c r="D314" s="4"/>
      <c r="E314" s="4"/>
      <c r="F314" s="4"/>
      <c r="G314" s="4"/>
      <c r="H314" s="4"/>
      <c r="I314" s="4"/>
      <c r="J314" s="4"/>
      <c r="K314" s="4"/>
      <c r="L314" s="4"/>
      <c r="M314" s="4"/>
      <c r="N314" s="4"/>
      <c r="O314" s="4"/>
      <c r="P314" s="4"/>
      <c r="Q314" s="4"/>
      <c r="R314" s="4"/>
      <c r="Y314" s="3"/>
      <c r="Z314" s="3"/>
      <c r="AA314" s="3"/>
      <c r="AB314" s="3"/>
    </row>
    <row r="315">
      <c r="A315" s="4"/>
      <c r="B315" s="4"/>
      <c r="C315" s="4"/>
      <c r="D315" s="4"/>
      <c r="E315" s="4"/>
      <c r="F315" s="4"/>
      <c r="G315" s="4"/>
      <c r="H315" s="4"/>
      <c r="I315" s="4"/>
      <c r="J315" s="4"/>
      <c r="K315" s="4"/>
      <c r="L315" s="4"/>
      <c r="M315" s="4"/>
      <c r="N315" s="4"/>
      <c r="O315" s="4"/>
      <c r="P315" s="4"/>
      <c r="Q315" s="4"/>
      <c r="R315" s="4"/>
      <c r="Y315" s="3"/>
      <c r="Z315" s="3"/>
      <c r="AA315" s="3"/>
      <c r="AB315" s="3"/>
    </row>
    <row r="316">
      <c r="A316" s="4"/>
      <c r="B316" s="4"/>
      <c r="C316" s="4"/>
      <c r="D316" s="4"/>
      <c r="E316" s="4"/>
      <c r="F316" s="4"/>
      <c r="G316" s="4"/>
      <c r="H316" s="4"/>
      <c r="I316" s="4"/>
      <c r="J316" s="4"/>
      <c r="K316" s="4"/>
      <c r="L316" s="4"/>
      <c r="M316" s="4"/>
      <c r="N316" s="4"/>
      <c r="O316" s="4"/>
      <c r="P316" s="4"/>
      <c r="Q316" s="4"/>
      <c r="R316" s="4"/>
      <c r="Y316" s="3"/>
      <c r="Z316" s="3"/>
      <c r="AA316" s="3"/>
      <c r="AB316" s="3"/>
    </row>
    <row r="317">
      <c r="A317" s="4"/>
      <c r="B317" s="4"/>
      <c r="C317" s="4"/>
      <c r="D317" s="4"/>
      <c r="E317" s="4"/>
      <c r="F317" s="4"/>
      <c r="G317" s="4"/>
      <c r="H317" s="4"/>
      <c r="I317" s="4"/>
      <c r="J317" s="4"/>
      <c r="K317" s="4"/>
      <c r="L317" s="4"/>
      <c r="M317" s="4"/>
      <c r="N317" s="4"/>
      <c r="O317" s="4"/>
      <c r="P317" s="4"/>
      <c r="Q317" s="4"/>
      <c r="R317" s="4"/>
      <c r="Y317" s="3"/>
      <c r="Z317" s="3"/>
      <c r="AA317" s="3"/>
      <c r="AB317" s="3"/>
    </row>
    <row r="318">
      <c r="A318" s="4"/>
      <c r="B318" s="4"/>
      <c r="C318" s="4"/>
      <c r="D318" s="4"/>
      <c r="E318" s="4"/>
      <c r="F318" s="4"/>
      <c r="G318" s="4"/>
      <c r="H318" s="4"/>
      <c r="I318" s="4"/>
      <c r="J318" s="4"/>
      <c r="K318" s="4"/>
      <c r="L318" s="4"/>
      <c r="M318" s="4"/>
      <c r="N318" s="4"/>
      <c r="O318" s="4"/>
      <c r="P318" s="4"/>
      <c r="Q318" s="4"/>
      <c r="R318" s="4"/>
      <c r="Y318" s="3"/>
      <c r="Z318" s="3"/>
      <c r="AA318" s="3"/>
      <c r="AB318" s="3"/>
    </row>
    <row r="319">
      <c r="A319" s="4"/>
      <c r="B319" s="4"/>
      <c r="C319" s="4"/>
      <c r="D319" s="4"/>
      <c r="E319" s="4"/>
      <c r="F319" s="4"/>
      <c r="G319" s="4"/>
      <c r="H319" s="4"/>
      <c r="I319" s="4"/>
      <c r="J319" s="4"/>
      <c r="K319" s="4"/>
      <c r="L319" s="4"/>
      <c r="M319" s="4"/>
      <c r="N319" s="4"/>
      <c r="O319" s="4"/>
      <c r="P319" s="4"/>
      <c r="Q319" s="4"/>
      <c r="R319" s="4"/>
      <c r="Y319" s="3"/>
      <c r="Z319" s="3"/>
      <c r="AA319" s="3"/>
      <c r="AB319" s="3"/>
    </row>
    <row r="320">
      <c r="A320" s="4"/>
      <c r="B320" s="4"/>
      <c r="C320" s="4"/>
      <c r="D320" s="4"/>
      <c r="E320" s="4"/>
      <c r="F320" s="4"/>
      <c r="G320" s="4"/>
      <c r="H320" s="4"/>
      <c r="I320" s="4"/>
      <c r="J320" s="4"/>
      <c r="K320" s="4"/>
      <c r="L320" s="4"/>
      <c r="M320" s="4"/>
      <c r="N320" s="4"/>
      <c r="O320" s="4"/>
      <c r="P320" s="4"/>
      <c r="Q320" s="4"/>
      <c r="R320" s="4"/>
      <c r="Y320" s="3"/>
      <c r="Z320" s="3"/>
      <c r="AA320" s="3"/>
      <c r="AB320" s="3"/>
    </row>
    <row r="321">
      <c r="A321" s="4"/>
      <c r="B321" s="4"/>
      <c r="C321" s="4"/>
      <c r="D321" s="4"/>
      <c r="E321" s="4"/>
      <c r="F321" s="4"/>
      <c r="G321" s="4"/>
      <c r="H321" s="4"/>
      <c r="I321" s="4"/>
      <c r="J321" s="4"/>
      <c r="K321" s="4"/>
      <c r="L321" s="4"/>
      <c r="M321" s="4"/>
      <c r="N321" s="4"/>
      <c r="O321" s="4"/>
      <c r="P321" s="4"/>
      <c r="Q321" s="4"/>
      <c r="R321" s="4"/>
      <c r="Y321" s="3"/>
      <c r="Z321" s="3"/>
      <c r="AA321" s="3"/>
      <c r="AB321" s="3"/>
    </row>
    <row r="322">
      <c r="A322" s="4"/>
      <c r="B322" s="4"/>
      <c r="C322" s="4"/>
      <c r="D322" s="4"/>
      <c r="E322" s="4"/>
      <c r="F322" s="4"/>
      <c r="G322" s="4"/>
      <c r="H322" s="4"/>
      <c r="I322" s="4"/>
      <c r="J322" s="4"/>
      <c r="K322" s="4"/>
      <c r="L322" s="4"/>
      <c r="M322" s="4"/>
      <c r="N322" s="4"/>
      <c r="O322" s="4"/>
      <c r="P322" s="4"/>
      <c r="Q322" s="4"/>
      <c r="R322" s="4"/>
      <c r="Y322" s="3"/>
      <c r="Z322" s="3"/>
      <c r="AA322" s="3"/>
      <c r="AB322" s="3"/>
    </row>
    <row r="323">
      <c r="A323" s="4"/>
      <c r="B323" s="4"/>
      <c r="C323" s="4"/>
      <c r="D323" s="4"/>
      <c r="E323" s="4"/>
      <c r="F323" s="4"/>
      <c r="G323" s="4"/>
      <c r="H323" s="4"/>
      <c r="I323" s="4"/>
      <c r="J323" s="4"/>
      <c r="K323" s="4"/>
      <c r="L323" s="4"/>
      <c r="M323" s="4"/>
      <c r="N323" s="4"/>
      <c r="O323" s="4"/>
      <c r="P323" s="4"/>
      <c r="Q323" s="4"/>
      <c r="R323" s="4"/>
      <c r="Y323" s="3"/>
      <c r="Z323" s="3"/>
      <c r="AA323" s="3"/>
      <c r="AB323" s="3"/>
    </row>
    <row r="324">
      <c r="A324" s="4"/>
      <c r="B324" s="4"/>
      <c r="C324" s="4"/>
      <c r="D324" s="4"/>
      <c r="E324" s="4"/>
      <c r="F324" s="4"/>
      <c r="G324" s="4"/>
      <c r="H324" s="4"/>
      <c r="I324" s="4"/>
      <c r="J324" s="4"/>
      <c r="K324" s="4"/>
      <c r="L324" s="4"/>
      <c r="M324" s="4"/>
      <c r="N324" s="4"/>
      <c r="O324" s="4"/>
      <c r="P324" s="4"/>
      <c r="Q324" s="4"/>
      <c r="R324" s="4"/>
      <c r="Y324" s="3"/>
      <c r="Z324" s="3"/>
      <c r="AA324" s="3"/>
      <c r="AB324" s="3"/>
    </row>
    <row r="325">
      <c r="A325" s="4"/>
      <c r="B325" s="4"/>
      <c r="C325" s="4"/>
      <c r="D325" s="4"/>
      <c r="E325" s="4"/>
      <c r="F325" s="4"/>
      <c r="G325" s="4"/>
      <c r="H325" s="4"/>
      <c r="I325" s="4"/>
      <c r="J325" s="4"/>
      <c r="K325" s="4"/>
      <c r="L325" s="4"/>
      <c r="M325" s="4"/>
      <c r="N325" s="4"/>
      <c r="O325" s="4"/>
      <c r="P325" s="4"/>
      <c r="Q325" s="4"/>
      <c r="R325" s="4"/>
      <c r="Y325" s="3"/>
      <c r="Z325" s="3"/>
      <c r="AA325" s="3"/>
      <c r="AB325" s="3"/>
    </row>
    <row r="326">
      <c r="A326" s="4"/>
      <c r="B326" s="4"/>
      <c r="C326" s="4"/>
      <c r="D326" s="4"/>
      <c r="E326" s="4"/>
      <c r="F326" s="4"/>
      <c r="G326" s="4"/>
      <c r="H326" s="4"/>
      <c r="I326" s="4"/>
      <c r="J326" s="4"/>
      <c r="K326" s="4"/>
      <c r="L326" s="4"/>
      <c r="M326" s="4"/>
      <c r="N326" s="4"/>
      <c r="O326" s="4"/>
      <c r="P326" s="4"/>
      <c r="Q326" s="4"/>
      <c r="R326" s="4"/>
      <c r="Y326" s="3"/>
      <c r="Z326" s="3"/>
      <c r="AA326" s="3"/>
      <c r="AB326" s="3"/>
    </row>
    <row r="327">
      <c r="A327" s="4"/>
      <c r="B327" s="4"/>
      <c r="C327" s="4"/>
      <c r="D327" s="4"/>
      <c r="E327" s="4"/>
      <c r="F327" s="4"/>
      <c r="G327" s="4"/>
      <c r="H327" s="4"/>
      <c r="I327" s="4"/>
      <c r="J327" s="4"/>
      <c r="K327" s="4"/>
      <c r="L327" s="4"/>
      <c r="M327" s="4"/>
      <c r="N327" s="4"/>
      <c r="O327" s="4"/>
      <c r="P327" s="4"/>
      <c r="Q327" s="4"/>
      <c r="R327" s="4"/>
      <c r="Y327" s="3"/>
      <c r="Z327" s="3"/>
      <c r="AA327" s="3"/>
      <c r="AB327" s="3"/>
    </row>
    <row r="328">
      <c r="A328" s="4"/>
      <c r="B328" s="4"/>
      <c r="C328" s="4"/>
      <c r="D328" s="4"/>
      <c r="E328" s="4"/>
      <c r="F328" s="4"/>
      <c r="G328" s="4"/>
      <c r="H328" s="4"/>
      <c r="I328" s="4"/>
      <c r="J328" s="4"/>
      <c r="K328" s="4"/>
      <c r="L328" s="4"/>
      <c r="M328" s="4"/>
      <c r="N328" s="4"/>
      <c r="O328" s="4"/>
      <c r="P328" s="4"/>
      <c r="Q328" s="4"/>
      <c r="R328" s="4"/>
      <c r="Y328" s="3"/>
      <c r="Z328" s="3"/>
      <c r="AA328" s="3"/>
      <c r="AB328" s="3"/>
    </row>
    <row r="329">
      <c r="A329" s="4"/>
      <c r="B329" s="4"/>
      <c r="C329" s="4"/>
      <c r="D329" s="4"/>
      <c r="E329" s="4"/>
      <c r="F329" s="4"/>
      <c r="G329" s="4"/>
      <c r="H329" s="4"/>
      <c r="I329" s="4"/>
      <c r="J329" s="4"/>
      <c r="K329" s="4"/>
      <c r="L329" s="4"/>
      <c r="M329" s="4"/>
      <c r="N329" s="4"/>
      <c r="O329" s="4"/>
      <c r="P329" s="4"/>
      <c r="Q329" s="4"/>
      <c r="R329" s="4"/>
      <c r="Y329" s="3"/>
      <c r="Z329" s="3"/>
      <c r="AA329" s="3"/>
      <c r="AB329" s="3"/>
    </row>
    <row r="330">
      <c r="A330" s="4"/>
      <c r="B330" s="4"/>
      <c r="C330" s="4"/>
      <c r="D330" s="4"/>
      <c r="E330" s="4"/>
      <c r="F330" s="4"/>
      <c r="G330" s="4"/>
      <c r="H330" s="4"/>
      <c r="I330" s="4"/>
      <c r="J330" s="4"/>
      <c r="K330" s="4"/>
      <c r="L330" s="4"/>
      <c r="M330" s="4"/>
      <c r="N330" s="4"/>
      <c r="O330" s="4"/>
      <c r="P330" s="4"/>
      <c r="Q330" s="4"/>
      <c r="R330" s="4"/>
      <c r="Y330" s="3"/>
      <c r="Z330" s="3"/>
      <c r="AA330" s="3"/>
      <c r="AB330" s="3"/>
    </row>
    <row r="331">
      <c r="A331" s="4"/>
      <c r="B331" s="4"/>
      <c r="C331" s="4"/>
      <c r="D331" s="4"/>
      <c r="E331" s="4"/>
      <c r="F331" s="4"/>
      <c r="G331" s="4"/>
      <c r="H331" s="4"/>
      <c r="I331" s="4"/>
      <c r="J331" s="4"/>
      <c r="K331" s="4"/>
      <c r="L331" s="4"/>
      <c r="M331" s="4"/>
      <c r="N331" s="4"/>
      <c r="O331" s="4"/>
      <c r="P331" s="4"/>
      <c r="Q331" s="4"/>
      <c r="R331" s="4"/>
      <c r="Y331" s="3"/>
      <c r="Z331" s="3"/>
      <c r="AA331" s="3"/>
      <c r="AB331" s="3"/>
    </row>
    <row r="332">
      <c r="A332" s="4"/>
      <c r="B332" s="4"/>
      <c r="C332" s="4"/>
      <c r="D332" s="4"/>
      <c r="E332" s="4"/>
      <c r="F332" s="4"/>
      <c r="G332" s="4"/>
      <c r="H332" s="4"/>
      <c r="I332" s="4"/>
      <c r="J332" s="4"/>
      <c r="K332" s="4"/>
      <c r="L332" s="4"/>
      <c r="M332" s="4"/>
      <c r="N332" s="4"/>
      <c r="O332" s="4"/>
      <c r="P332" s="4"/>
      <c r="Q332" s="4"/>
      <c r="R332" s="4"/>
      <c r="Y332" s="3"/>
      <c r="Z332" s="3"/>
      <c r="AA332" s="3"/>
      <c r="AB332" s="3"/>
    </row>
    <row r="333">
      <c r="A333" s="4"/>
      <c r="B333" s="4"/>
      <c r="C333" s="4"/>
      <c r="D333" s="4"/>
      <c r="E333" s="4"/>
      <c r="F333" s="4"/>
      <c r="G333" s="4"/>
      <c r="H333" s="4"/>
      <c r="I333" s="4"/>
      <c r="J333" s="4"/>
      <c r="K333" s="4"/>
      <c r="L333" s="4"/>
      <c r="M333" s="4"/>
      <c r="N333" s="4"/>
      <c r="O333" s="4"/>
      <c r="P333" s="4"/>
      <c r="Q333" s="4"/>
      <c r="R333" s="4"/>
      <c r="Y333" s="3"/>
      <c r="Z333" s="3"/>
      <c r="AA333" s="3"/>
      <c r="AB333" s="3"/>
    </row>
    <row r="334">
      <c r="A334" s="4"/>
      <c r="B334" s="4"/>
      <c r="C334" s="4"/>
      <c r="D334" s="4"/>
      <c r="E334" s="4"/>
      <c r="F334" s="4"/>
      <c r="G334" s="4"/>
      <c r="H334" s="4"/>
      <c r="I334" s="4"/>
      <c r="J334" s="4"/>
      <c r="K334" s="4"/>
      <c r="L334" s="4"/>
      <c r="M334" s="4"/>
      <c r="N334" s="4"/>
      <c r="O334" s="4"/>
      <c r="P334" s="4"/>
      <c r="Q334" s="4"/>
      <c r="R334" s="4"/>
      <c r="Y334" s="3"/>
      <c r="Z334" s="3"/>
      <c r="AA334" s="3"/>
      <c r="AB334" s="3"/>
    </row>
    <row r="335">
      <c r="A335" s="4"/>
      <c r="B335" s="4"/>
      <c r="C335" s="4"/>
      <c r="D335" s="4"/>
      <c r="E335" s="4"/>
      <c r="F335" s="4"/>
      <c r="G335" s="4"/>
      <c r="H335" s="4"/>
      <c r="I335" s="4"/>
      <c r="J335" s="4"/>
      <c r="K335" s="4"/>
      <c r="L335" s="4"/>
      <c r="M335" s="4"/>
      <c r="N335" s="4"/>
      <c r="O335" s="4"/>
      <c r="P335" s="4"/>
      <c r="Q335" s="4"/>
      <c r="R335" s="4"/>
      <c r="Y335" s="3"/>
      <c r="Z335" s="3"/>
      <c r="AA335" s="3"/>
      <c r="AB335" s="3"/>
    </row>
    <row r="336">
      <c r="A336" s="4"/>
      <c r="B336" s="4"/>
      <c r="C336" s="4"/>
      <c r="D336" s="4"/>
      <c r="E336" s="4"/>
      <c r="F336" s="4"/>
      <c r="G336" s="4"/>
      <c r="H336" s="4"/>
      <c r="I336" s="4"/>
      <c r="J336" s="4"/>
      <c r="K336" s="4"/>
      <c r="L336" s="4"/>
      <c r="M336" s="4"/>
      <c r="N336" s="4"/>
      <c r="O336" s="4"/>
      <c r="P336" s="4"/>
      <c r="Q336" s="4"/>
      <c r="R336" s="4"/>
      <c r="Y336" s="3"/>
      <c r="Z336" s="3"/>
      <c r="AA336" s="3"/>
      <c r="AB336" s="3"/>
    </row>
    <row r="337">
      <c r="A337" s="4"/>
      <c r="B337" s="4"/>
      <c r="C337" s="4"/>
      <c r="D337" s="4"/>
      <c r="E337" s="4"/>
      <c r="F337" s="4"/>
      <c r="G337" s="4"/>
      <c r="H337" s="4"/>
      <c r="I337" s="4"/>
      <c r="J337" s="4"/>
      <c r="K337" s="4"/>
      <c r="L337" s="4"/>
      <c r="M337" s="4"/>
      <c r="N337" s="4"/>
      <c r="O337" s="4"/>
      <c r="P337" s="4"/>
      <c r="Q337" s="4"/>
      <c r="R337" s="4"/>
      <c r="Y337" s="3"/>
      <c r="Z337" s="3"/>
      <c r="AA337" s="3"/>
      <c r="AB337" s="3"/>
    </row>
    <row r="338">
      <c r="A338" s="4"/>
      <c r="B338" s="4"/>
      <c r="C338" s="4"/>
      <c r="D338" s="4"/>
      <c r="E338" s="4"/>
      <c r="F338" s="4"/>
      <c r="G338" s="4"/>
      <c r="H338" s="4"/>
      <c r="I338" s="4"/>
      <c r="J338" s="4"/>
      <c r="K338" s="4"/>
      <c r="L338" s="4"/>
      <c r="M338" s="4"/>
      <c r="N338" s="4"/>
      <c r="O338" s="4"/>
      <c r="P338" s="4"/>
      <c r="Q338" s="4"/>
      <c r="R338" s="4"/>
      <c r="Y338" s="3"/>
      <c r="Z338" s="3"/>
      <c r="AA338" s="3"/>
      <c r="AB338" s="3"/>
    </row>
    <row r="339">
      <c r="A339" s="4"/>
      <c r="B339" s="4"/>
      <c r="C339" s="4"/>
      <c r="D339" s="4"/>
      <c r="E339" s="4"/>
      <c r="F339" s="4"/>
      <c r="G339" s="4"/>
      <c r="H339" s="4"/>
      <c r="I339" s="4"/>
      <c r="J339" s="4"/>
      <c r="K339" s="4"/>
      <c r="L339" s="4"/>
      <c r="M339" s="4"/>
      <c r="N339" s="4"/>
      <c r="O339" s="4"/>
      <c r="P339" s="4"/>
      <c r="Q339" s="4"/>
      <c r="R339" s="4"/>
      <c r="Y339" s="3"/>
      <c r="Z339" s="3"/>
      <c r="AA339" s="3"/>
      <c r="AB339" s="3"/>
    </row>
    <row r="340">
      <c r="A340" s="4"/>
      <c r="B340" s="4"/>
      <c r="C340" s="4"/>
      <c r="D340" s="4"/>
      <c r="E340" s="4"/>
      <c r="F340" s="4"/>
      <c r="G340" s="4"/>
      <c r="H340" s="4"/>
      <c r="I340" s="4"/>
      <c r="J340" s="4"/>
      <c r="K340" s="4"/>
      <c r="L340" s="4"/>
      <c r="M340" s="4"/>
      <c r="N340" s="4"/>
      <c r="O340" s="4"/>
      <c r="P340" s="4"/>
      <c r="Q340" s="4"/>
      <c r="R340" s="4"/>
      <c r="Y340" s="3"/>
      <c r="Z340" s="3"/>
      <c r="AA340" s="3"/>
      <c r="AB340" s="3"/>
    </row>
    <row r="341">
      <c r="A341" s="4"/>
      <c r="B341" s="4"/>
      <c r="C341" s="4"/>
      <c r="D341" s="4"/>
      <c r="E341" s="4"/>
      <c r="F341" s="4"/>
      <c r="G341" s="4"/>
      <c r="H341" s="4"/>
      <c r="I341" s="4"/>
      <c r="J341" s="4"/>
      <c r="K341" s="4"/>
      <c r="L341" s="4"/>
      <c r="M341" s="4"/>
      <c r="N341" s="4"/>
      <c r="O341" s="4"/>
      <c r="P341" s="4"/>
      <c r="Q341" s="4"/>
      <c r="R341" s="4"/>
      <c r="Y341" s="3"/>
      <c r="Z341" s="3"/>
      <c r="AA341" s="3"/>
      <c r="AB341" s="3"/>
    </row>
    <row r="342">
      <c r="A342" s="4"/>
      <c r="B342" s="4"/>
      <c r="C342" s="4"/>
      <c r="D342" s="4"/>
      <c r="E342" s="4"/>
      <c r="F342" s="4"/>
      <c r="G342" s="4"/>
      <c r="H342" s="4"/>
      <c r="I342" s="4"/>
      <c r="J342" s="4"/>
      <c r="K342" s="4"/>
      <c r="L342" s="4"/>
      <c r="M342" s="4"/>
      <c r="N342" s="4"/>
      <c r="O342" s="4"/>
      <c r="P342" s="4"/>
      <c r="Q342" s="4"/>
      <c r="R342" s="4"/>
      <c r="Y342" s="3"/>
      <c r="Z342" s="3"/>
      <c r="AA342" s="3"/>
      <c r="AB342" s="3"/>
    </row>
    <row r="343">
      <c r="A343" s="4"/>
      <c r="B343" s="4"/>
      <c r="C343" s="4"/>
      <c r="D343" s="4"/>
      <c r="E343" s="4"/>
      <c r="F343" s="4"/>
      <c r="G343" s="4"/>
      <c r="H343" s="4"/>
      <c r="I343" s="4"/>
      <c r="J343" s="4"/>
      <c r="K343" s="4"/>
      <c r="L343" s="4"/>
      <c r="M343" s="4"/>
      <c r="N343" s="4"/>
      <c r="O343" s="4"/>
      <c r="P343" s="4"/>
      <c r="Q343" s="4"/>
      <c r="R343" s="4"/>
      <c r="Y343" s="3"/>
      <c r="Z343" s="3"/>
      <c r="AA343" s="3"/>
      <c r="AB343" s="3"/>
    </row>
    <row r="344">
      <c r="A344" s="4"/>
      <c r="B344" s="4"/>
      <c r="C344" s="4"/>
      <c r="D344" s="4"/>
      <c r="E344" s="4"/>
      <c r="F344" s="4"/>
      <c r="G344" s="4"/>
      <c r="H344" s="4"/>
      <c r="I344" s="4"/>
      <c r="J344" s="4"/>
      <c r="K344" s="4"/>
      <c r="L344" s="4"/>
      <c r="M344" s="4"/>
      <c r="N344" s="4"/>
      <c r="O344" s="4"/>
      <c r="P344" s="4"/>
      <c r="Q344" s="4"/>
      <c r="R344" s="4"/>
      <c r="Y344" s="3"/>
      <c r="Z344" s="3"/>
      <c r="AA344" s="3"/>
      <c r="AB344" s="3"/>
    </row>
    <row r="345">
      <c r="A345" s="4"/>
      <c r="B345" s="4"/>
      <c r="C345" s="4"/>
      <c r="D345" s="4"/>
      <c r="E345" s="4"/>
      <c r="F345" s="4"/>
      <c r="G345" s="4"/>
      <c r="H345" s="4"/>
      <c r="I345" s="4"/>
      <c r="J345" s="4"/>
      <c r="K345" s="4"/>
      <c r="L345" s="4"/>
      <c r="M345" s="4"/>
      <c r="N345" s="4"/>
      <c r="O345" s="4"/>
      <c r="P345" s="4"/>
      <c r="Q345" s="4"/>
      <c r="R345" s="4"/>
      <c r="Y345" s="3"/>
      <c r="Z345" s="3"/>
      <c r="AA345" s="3"/>
      <c r="AB345" s="3"/>
    </row>
    <row r="346">
      <c r="A346" s="4"/>
      <c r="B346" s="4"/>
      <c r="C346" s="4"/>
      <c r="D346" s="4"/>
      <c r="E346" s="4"/>
      <c r="F346" s="4"/>
      <c r="G346" s="4"/>
      <c r="H346" s="4"/>
      <c r="I346" s="4"/>
      <c r="J346" s="4"/>
      <c r="K346" s="4"/>
      <c r="L346" s="4"/>
      <c r="M346" s="4"/>
      <c r="N346" s="4"/>
      <c r="O346" s="4"/>
      <c r="P346" s="4"/>
      <c r="Q346" s="4"/>
      <c r="R346" s="4"/>
      <c r="Y346" s="3"/>
      <c r="Z346" s="3"/>
      <c r="AA346" s="3"/>
      <c r="AB346" s="3"/>
    </row>
    <row r="347">
      <c r="A347" s="4"/>
      <c r="B347" s="4"/>
      <c r="C347" s="4"/>
      <c r="D347" s="4"/>
      <c r="E347" s="4"/>
      <c r="F347" s="4"/>
      <c r="G347" s="4"/>
      <c r="H347" s="4"/>
      <c r="I347" s="4"/>
      <c r="J347" s="4"/>
      <c r="K347" s="4"/>
      <c r="L347" s="4"/>
      <c r="M347" s="4"/>
      <c r="N347" s="4"/>
      <c r="O347" s="4"/>
      <c r="P347" s="4"/>
      <c r="Q347" s="4"/>
      <c r="R347" s="4"/>
      <c r="Y347" s="3"/>
      <c r="Z347" s="3"/>
      <c r="AA347" s="3"/>
      <c r="AB347" s="3"/>
    </row>
    <row r="348">
      <c r="A348" s="4"/>
      <c r="B348" s="4"/>
      <c r="C348" s="4"/>
      <c r="D348" s="4"/>
      <c r="E348" s="4"/>
      <c r="F348" s="4"/>
      <c r="G348" s="4"/>
      <c r="H348" s="4"/>
      <c r="I348" s="4"/>
      <c r="J348" s="4"/>
      <c r="K348" s="4"/>
      <c r="L348" s="4"/>
      <c r="M348" s="4"/>
      <c r="N348" s="4"/>
      <c r="O348" s="4"/>
      <c r="P348" s="4"/>
      <c r="Q348" s="4"/>
      <c r="R348" s="4"/>
      <c r="Y348" s="3"/>
      <c r="Z348" s="3"/>
      <c r="AA348" s="3"/>
      <c r="AB348" s="3"/>
    </row>
    <row r="349">
      <c r="A349" s="4"/>
      <c r="B349" s="4"/>
      <c r="C349" s="4"/>
      <c r="D349" s="4"/>
      <c r="E349" s="4"/>
      <c r="F349" s="4"/>
      <c r="G349" s="4"/>
      <c r="H349" s="4"/>
      <c r="I349" s="4"/>
      <c r="J349" s="4"/>
      <c r="K349" s="4"/>
      <c r="L349" s="4"/>
      <c r="M349" s="4"/>
      <c r="N349" s="4"/>
      <c r="O349" s="4"/>
      <c r="P349" s="4"/>
      <c r="Q349" s="4"/>
      <c r="R349" s="4"/>
      <c r="Y349" s="3"/>
      <c r="Z349" s="3"/>
      <c r="AA349" s="3"/>
      <c r="AB349" s="3"/>
    </row>
    <row r="350">
      <c r="A350" s="4"/>
      <c r="B350" s="4"/>
      <c r="C350" s="4"/>
      <c r="D350" s="4"/>
      <c r="E350" s="4"/>
      <c r="F350" s="4"/>
      <c r="G350" s="4"/>
      <c r="H350" s="4"/>
      <c r="I350" s="4"/>
      <c r="J350" s="4"/>
      <c r="K350" s="4"/>
      <c r="L350" s="4"/>
      <c r="M350" s="4"/>
      <c r="N350" s="4"/>
      <c r="O350" s="4"/>
      <c r="P350" s="4"/>
      <c r="Q350" s="4"/>
      <c r="R350" s="4"/>
      <c r="Y350" s="3"/>
      <c r="Z350" s="3"/>
      <c r="AA350" s="3"/>
      <c r="AB350" s="3"/>
    </row>
    <row r="351">
      <c r="A351" s="4"/>
      <c r="B351" s="4"/>
      <c r="C351" s="4"/>
      <c r="D351" s="4"/>
      <c r="E351" s="4"/>
      <c r="F351" s="4"/>
      <c r="G351" s="4"/>
      <c r="H351" s="4"/>
      <c r="I351" s="4"/>
      <c r="J351" s="4"/>
      <c r="K351" s="4"/>
      <c r="L351" s="4"/>
      <c r="M351" s="4"/>
      <c r="N351" s="4"/>
      <c r="O351" s="4"/>
      <c r="P351" s="4"/>
      <c r="Q351" s="4"/>
      <c r="R351" s="4"/>
      <c r="Y351" s="3"/>
      <c r="Z351" s="3"/>
      <c r="AA351" s="3"/>
      <c r="AB351" s="3"/>
    </row>
    <row r="352">
      <c r="A352" s="4"/>
      <c r="B352" s="4"/>
      <c r="C352" s="4"/>
      <c r="D352" s="4"/>
      <c r="E352" s="4"/>
      <c r="F352" s="4"/>
      <c r="G352" s="4"/>
      <c r="H352" s="4"/>
      <c r="I352" s="4"/>
      <c r="J352" s="4"/>
      <c r="K352" s="4"/>
      <c r="L352" s="4"/>
      <c r="M352" s="4"/>
      <c r="N352" s="4"/>
      <c r="O352" s="4"/>
      <c r="P352" s="4"/>
      <c r="Q352" s="4"/>
      <c r="R352" s="4"/>
      <c r="Y352" s="3"/>
      <c r="Z352" s="3"/>
      <c r="AA352" s="3"/>
      <c r="AB352" s="3"/>
    </row>
    <row r="353">
      <c r="A353" s="4"/>
      <c r="B353" s="4"/>
      <c r="C353" s="4"/>
      <c r="D353" s="4"/>
      <c r="E353" s="4"/>
      <c r="F353" s="4"/>
      <c r="G353" s="4"/>
      <c r="H353" s="4"/>
      <c r="I353" s="4"/>
      <c r="J353" s="4"/>
      <c r="K353" s="4"/>
      <c r="L353" s="4"/>
      <c r="M353" s="4"/>
      <c r="N353" s="4"/>
      <c r="O353" s="4"/>
      <c r="P353" s="4"/>
      <c r="Q353" s="4"/>
      <c r="R353" s="4"/>
      <c r="Y353" s="3"/>
      <c r="Z353" s="3"/>
      <c r="AA353" s="3"/>
      <c r="AB353" s="3"/>
    </row>
    <row r="354">
      <c r="A354" s="4"/>
      <c r="B354" s="4"/>
      <c r="C354" s="4"/>
      <c r="D354" s="4"/>
      <c r="E354" s="4"/>
      <c r="F354" s="4"/>
      <c r="G354" s="4"/>
      <c r="H354" s="4"/>
      <c r="I354" s="4"/>
      <c r="J354" s="4"/>
      <c r="K354" s="4"/>
      <c r="L354" s="4"/>
      <c r="M354" s="4"/>
      <c r="N354" s="4"/>
      <c r="O354" s="4"/>
      <c r="P354" s="4"/>
      <c r="Q354" s="4"/>
      <c r="R354" s="4"/>
      <c r="Y354" s="3"/>
      <c r="Z354" s="3"/>
      <c r="AA354" s="3"/>
      <c r="AB354" s="3"/>
    </row>
    <row r="355">
      <c r="A355" s="4"/>
      <c r="B355" s="4"/>
      <c r="C355" s="4"/>
      <c r="D355" s="4"/>
      <c r="E355" s="4"/>
      <c r="F355" s="4"/>
      <c r="G355" s="4"/>
      <c r="H355" s="4"/>
      <c r="I355" s="4"/>
      <c r="J355" s="4"/>
      <c r="K355" s="4"/>
      <c r="L355" s="4"/>
      <c r="M355" s="4"/>
      <c r="N355" s="4"/>
      <c r="O355" s="4"/>
      <c r="P355" s="4"/>
      <c r="Q355" s="4"/>
      <c r="R355" s="4"/>
      <c r="Y355" s="3"/>
      <c r="Z355" s="3"/>
      <c r="AA355" s="3"/>
      <c r="AB355" s="3"/>
    </row>
    <row r="356">
      <c r="A356" s="4"/>
      <c r="B356" s="4"/>
      <c r="C356" s="4"/>
      <c r="D356" s="4"/>
      <c r="E356" s="4"/>
      <c r="F356" s="4"/>
      <c r="G356" s="4"/>
      <c r="H356" s="4"/>
      <c r="I356" s="4"/>
      <c r="J356" s="4"/>
      <c r="K356" s="4"/>
      <c r="L356" s="4"/>
      <c r="M356" s="4"/>
      <c r="N356" s="4"/>
      <c r="O356" s="4"/>
      <c r="P356" s="4"/>
      <c r="Q356" s="4"/>
      <c r="R356" s="4"/>
      <c r="Y356" s="3"/>
      <c r="Z356" s="3"/>
      <c r="AA356" s="3"/>
      <c r="AB356" s="3"/>
    </row>
    <row r="357">
      <c r="A357" s="4"/>
      <c r="B357" s="4"/>
      <c r="C357" s="4"/>
      <c r="D357" s="4"/>
      <c r="E357" s="4"/>
      <c r="F357" s="4"/>
      <c r="G357" s="4"/>
      <c r="H357" s="4"/>
      <c r="I357" s="4"/>
      <c r="J357" s="4"/>
      <c r="K357" s="4"/>
      <c r="L357" s="4"/>
      <c r="M357" s="4"/>
      <c r="N357" s="4"/>
      <c r="O357" s="4"/>
      <c r="P357" s="4"/>
      <c r="Q357" s="4"/>
      <c r="R357" s="4"/>
      <c r="Y357" s="3"/>
      <c r="Z357" s="3"/>
      <c r="AA357" s="3"/>
      <c r="AB357" s="3"/>
    </row>
    <row r="358">
      <c r="A358" s="4"/>
      <c r="B358" s="4"/>
      <c r="C358" s="4"/>
      <c r="D358" s="4"/>
      <c r="E358" s="4"/>
      <c r="F358" s="4"/>
      <c r="G358" s="4"/>
      <c r="H358" s="4"/>
      <c r="I358" s="4"/>
      <c r="J358" s="4"/>
      <c r="K358" s="4"/>
      <c r="L358" s="4"/>
      <c r="M358" s="4"/>
      <c r="N358" s="4"/>
      <c r="O358" s="4"/>
      <c r="P358" s="4"/>
      <c r="Q358" s="4"/>
      <c r="R358" s="4"/>
      <c r="Y358" s="3"/>
      <c r="Z358" s="3"/>
      <c r="AA358" s="3"/>
      <c r="AB358" s="3"/>
    </row>
    <row r="359">
      <c r="A359" s="4"/>
      <c r="B359" s="4"/>
      <c r="C359" s="4"/>
      <c r="D359" s="4"/>
      <c r="E359" s="4"/>
      <c r="F359" s="4"/>
      <c r="G359" s="4"/>
      <c r="H359" s="4"/>
      <c r="I359" s="4"/>
      <c r="J359" s="4"/>
      <c r="K359" s="4"/>
      <c r="L359" s="4"/>
      <c r="M359" s="4"/>
      <c r="N359" s="4"/>
      <c r="O359" s="4"/>
      <c r="P359" s="4"/>
      <c r="Q359" s="4"/>
      <c r="R359" s="4"/>
      <c r="Y359" s="3"/>
      <c r="Z359" s="3"/>
      <c r="AA359" s="3"/>
      <c r="AB359" s="3"/>
    </row>
    <row r="360">
      <c r="A360" s="4"/>
      <c r="B360" s="4"/>
      <c r="C360" s="4"/>
      <c r="D360" s="4"/>
      <c r="E360" s="4"/>
      <c r="F360" s="4"/>
      <c r="G360" s="4"/>
      <c r="H360" s="4"/>
      <c r="I360" s="4"/>
      <c r="J360" s="4"/>
      <c r="K360" s="4"/>
      <c r="L360" s="4"/>
      <c r="M360" s="4"/>
      <c r="N360" s="4"/>
      <c r="O360" s="4"/>
      <c r="P360" s="4"/>
      <c r="Q360" s="4"/>
      <c r="R360" s="4"/>
      <c r="Y360" s="3"/>
      <c r="Z360" s="3"/>
      <c r="AA360" s="3"/>
      <c r="AB360" s="3"/>
    </row>
    <row r="361">
      <c r="A361" s="4"/>
      <c r="B361" s="4"/>
      <c r="C361" s="4"/>
      <c r="D361" s="4"/>
      <c r="E361" s="4"/>
      <c r="F361" s="4"/>
      <c r="G361" s="4"/>
      <c r="H361" s="4"/>
      <c r="I361" s="4"/>
      <c r="J361" s="4"/>
      <c r="K361" s="4"/>
      <c r="L361" s="4"/>
      <c r="M361" s="4"/>
      <c r="N361" s="4"/>
      <c r="O361" s="4"/>
      <c r="P361" s="4"/>
      <c r="Q361" s="4"/>
      <c r="R361" s="4"/>
      <c r="Y361" s="3"/>
      <c r="Z361" s="3"/>
      <c r="AA361" s="3"/>
      <c r="AB361" s="3"/>
    </row>
    <row r="362">
      <c r="A362" s="4"/>
      <c r="B362" s="4"/>
      <c r="C362" s="4"/>
      <c r="D362" s="4"/>
      <c r="E362" s="4"/>
      <c r="F362" s="4"/>
      <c r="G362" s="4"/>
      <c r="H362" s="4"/>
      <c r="I362" s="4"/>
      <c r="J362" s="4"/>
      <c r="K362" s="4"/>
      <c r="L362" s="4"/>
      <c r="M362" s="4"/>
      <c r="N362" s="4"/>
      <c r="O362" s="4"/>
      <c r="P362" s="4"/>
      <c r="Q362" s="4"/>
      <c r="R362" s="4"/>
      <c r="Y362" s="3"/>
      <c r="Z362" s="3"/>
      <c r="AA362" s="3"/>
      <c r="AB362" s="3"/>
    </row>
    <row r="363">
      <c r="A363" s="4"/>
      <c r="B363" s="4"/>
      <c r="C363" s="4"/>
      <c r="D363" s="4"/>
      <c r="E363" s="4"/>
      <c r="F363" s="4"/>
      <c r="G363" s="4"/>
      <c r="H363" s="4"/>
      <c r="I363" s="4"/>
      <c r="J363" s="4"/>
      <c r="K363" s="4"/>
      <c r="L363" s="4"/>
      <c r="M363" s="4"/>
      <c r="N363" s="4"/>
      <c r="O363" s="4"/>
      <c r="P363" s="4"/>
      <c r="Q363" s="4"/>
      <c r="R363" s="4"/>
      <c r="Y363" s="3"/>
      <c r="Z363" s="3"/>
      <c r="AA363" s="3"/>
      <c r="AB363" s="3"/>
    </row>
    <row r="364">
      <c r="A364" s="4"/>
      <c r="B364" s="4"/>
      <c r="C364" s="4"/>
      <c r="D364" s="4"/>
      <c r="E364" s="4"/>
      <c r="F364" s="4"/>
      <c r="G364" s="4"/>
      <c r="H364" s="4"/>
      <c r="I364" s="4"/>
      <c r="J364" s="4"/>
      <c r="K364" s="4"/>
      <c r="L364" s="4"/>
      <c r="M364" s="4"/>
      <c r="N364" s="4"/>
      <c r="O364" s="4"/>
      <c r="P364" s="4"/>
      <c r="Q364" s="4"/>
      <c r="R364" s="4"/>
      <c r="Y364" s="3"/>
      <c r="Z364" s="3"/>
      <c r="AA364" s="3"/>
      <c r="AB364" s="3"/>
    </row>
    <row r="365">
      <c r="A365" s="4"/>
      <c r="B365" s="4"/>
      <c r="C365" s="4"/>
      <c r="D365" s="4"/>
      <c r="E365" s="4"/>
      <c r="F365" s="4"/>
      <c r="G365" s="4"/>
      <c r="H365" s="4"/>
      <c r="I365" s="4"/>
      <c r="J365" s="4"/>
      <c r="K365" s="4"/>
      <c r="L365" s="4"/>
      <c r="M365" s="4"/>
      <c r="N365" s="4"/>
      <c r="O365" s="4"/>
      <c r="P365" s="4"/>
      <c r="Q365" s="4"/>
      <c r="R365" s="4"/>
      <c r="Y365" s="3"/>
      <c r="Z365" s="3"/>
      <c r="AA365" s="3"/>
      <c r="AB365" s="3"/>
    </row>
    <row r="366">
      <c r="A366" s="4"/>
      <c r="B366" s="4"/>
      <c r="C366" s="4"/>
      <c r="D366" s="4"/>
      <c r="E366" s="4"/>
      <c r="F366" s="4"/>
      <c r="G366" s="4"/>
      <c r="H366" s="4"/>
      <c r="I366" s="4"/>
      <c r="J366" s="4"/>
      <c r="K366" s="4"/>
      <c r="L366" s="4"/>
      <c r="M366" s="4"/>
      <c r="N366" s="4"/>
      <c r="O366" s="4"/>
      <c r="P366" s="4"/>
      <c r="Q366" s="4"/>
      <c r="R366" s="4"/>
      <c r="Y366" s="3"/>
      <c r="Z366" s="3"/>
      <c r="AA366" s="3"/>
      <c r="AB366" s="3"/>
    </row>
    <row r="367">
      <c r="A367" s="4"/>
      <c r="B367" s="4"/>
      <c r="C367" s="4"/>
      <c r="D367" s="4"/>
      <c r="E367" s="4"/>
      <c r="F367" s="4"/>
      <c r="G367" s="4"/>
      <c r="H367" s="4"/>
      <c r="I367" s="4"/>
      <c r="J367" s="4"/>
      <c r="K367" s="4"/>
      <c r="L367" s="4"/>
      <c r="M367" s="4"/>
      <c r="N367" s="4"/>
      <c r="O367" s="4"/>
      <c r="P367" s="4"/>
      <c r="Q367" s="4"/>
      <c r="R367" s="4"/>
      <c r="Y367" s="3"/>
      <c r="Z367" s="3"/>
      <c r="AA367" s="3"/>
      <c r="AB367" s="3"/>
    </row>
    <row r="368">
      <c r="A368" s="4"/>
      <c r="B368" s="4"/>
      <c r="C368" s="4"/>
      <c r="D368" s="4"/>
      <c r="E368" s="4"/>
      <c r="F368" s="4"/>
      <c r="G368" s="4"/>
      <c r="H368" s="4"/>
      <c r="I368" s="4"/>
      <c r="J368" s="4"/>
      <c r="K368" s="4"/>
      <c r="L368" s="4"/>
      <c r="M368" s="4"/>
      <c r="N368" s="4"/>
      <c r="O368" s="4"/>
      <c r="P368" s="4"/>
      <c r="Q368" s="4"/>
      <c r="R368" s="4"/>
      <c r="Y368" s="3"/>
      <c r="Z368" s="3"/>
      <c r="AA368" s="3"/>
      <c r="AB368" s="3"/>
    </row>
    <row r="369">
      <c r="A369" s="4"/>
      <c r="B369" s="4"/>
      <c r="C369" s="4"/>
      <c r="D369" s="4"/>
      <c r="E369" s="4"/>
      <c r="F369" s="4"/>
      <c r="G369" s="4"/>
      <c r="H369" s="4"/>
      <c r="I369" s="4"/>
      <c r="J369" s="4"/>
      <c r="K369" s="4"/>
      <c r="L369" s="4"/>
      <c r="M369" s="4"/>
      <c r="N369" s="4"/>
      <c r="O369" s="4"/>
      <c r="P369" s="4"/>
      <c r="Q369" s="4"/>
      <c r="R369" s="4"/>
      <c r="Y369" s="3"/>
      <c r="Z369" s="3"/>
      <c r="AA369" s="3"/>
      <c r="AB369" s="3"/>
    </row>
    <row r="370">
      <c r="A370" s="4"/>
      <c r="B370" s="4"/>
      <c r="C370" s="4"/>
      <c r="D370" s="4"/>
      <c r="E370" s="4"/>
      <c r="F370" s="4"/>
      <c r="G370" s="4"/>
      <c r="H370" s="4"/>
      <c r="I370" s="4"/>
      <c r="J370" s="4"/>
      <c r="K370" s="4"/>
      <c r="L370" s="4"/>
      <c r="M370" s="4"/>
      <c r="N370" s="4"/>
      <c r="O370" s="4"/>
      <c r="P370" s="4"/>
      <c r="Q370" s="4"/>
      <c r="R370" s="4"/>
      <c r="Y370" s="3"/>
      <c r="Z370" s="3"/>
      <c r="AA370" s="3"/>
      <c r="AB370" s="3"/>
    </row>
    <row r="371">
      <c r="A371" s="4"/>
      <c r="B371" s="4"/>
      <c r="C371" s="4"/>
      <c r="D371" s="4"/>
      <c r="E371" s="4"/>
      <c r="F371" s="4"/>
      <c r="G371" s="4"/>
      <c r="H371" s="4"/>
      <c r="I371" s="4"/>
      <c r="J371" s="4"/>
      <c r="K371" s="4"/>
      <c r="L371" s="4"/>
      <c r="M371" s="4"/>
      <c r="N371" s="4"/>
      <c r="O371" s="4"/>
      <c r="P371" s="4"/>
      <c r="Q371" s="4"/>
      <c r="R371" s="4"/>
      <c r="Y371" s="3"/>
      <c r="Z371" s="3"/>
      <c r="AA371" s="3"/>
      <c r="AB371" s="3"/>
    </row>
    <row r="372">
      <c r="A372" s="4"/>
      <c r="B372" s="4"/>
      <c r="C372" s="4"/>
      <c r="D372" s="4"/>
      <c r="E372" s="4"/>
      <c r="F372" s="4"/>
      <c r="G372" s="4"/>
      <c r="H372" s="4"/>
      <c r="I372" s="4"/>
      <c r="J372" s="4"/>
      <c r="K372" s="4"/>
      <c r="L372" s="4"/>
      <c r="M372" s="4"/>
      <c r="N372" s="4"/>
      <c r="O372" s="4"/>
      <c r="P372" s="4"/>
      <c r="Q372" s="4"/>
      <c r="R372" s="4"/>
      <c r="Y372" s="3"/>
      <c r="Z372" s="3"/>
      <c r="AA372" s="3"/>
      <c r="AB372" s="3"/>
    </row>
    <row r="373">
      <c r="A373" s="4"/>
      <c r="B373" s="4"/>
      <c r="C373" s="4"/>
      <c r="D373" s="4"/>
      <c r="E373" s="4"/>
      <c r="F373" s="4"/>
      <c r="G373" s="4"/>
      <c r="H373" s="4"/>
      <c r="I373" s="4"/>
      <c r="J373" s="4"/>
      <c r="K373" s="4"/>
      <c r="L373" s="4"/>
      <c r="M373" s="4"/>
      <c r="N373" s="4"/>
      <c r="O373" s="4"/>
      <c r="P373" s="4"/>
      <c r="Q373" s="4"/>
      <c r="R373" s="4"/>
      <c r="Y373" s="3"/>
      <c r="Z373" s="3"/>
      <c r="AA373" s="3"/>
      <c r="AB373" s="3"/>
    </row>
    <row r="374">
      <c r="A374" s="4"/>
      <c r="B374" s="4"/>
      <c r="C374" s="4"/>
      <c r="D374" s="4"/>
      <c r="E374" s="4"/>
      <c r="F374" s="4"/>
      <c r="G374" s="4"/>
      <c r="H374" s="4"/>
      <c r="I374" s="4"/>
      <c r="J374" s="4"/>
      <c r="K374" s="4"/>
      <c r="L374" s="4"/>
      <c r="M374" s="4"/>
      <c r="N374" s="4"/>
      <c r="O374" s="4"/>
      <c r="P374" s="4"/>
      <c r="Q374" s="4"/>
      <c r="R374" s="4"/>
      <c r="Y374" s="3"/>
      <c r="Z374" s="3"/>
      <c r="AA374" s="3"/>
      <c r="AB374" s="3"/>
    </row>
    <row r="375">
      <c r="A375" s="4"/>
      <c r="B375" s="4"/>
      <c r="C375" s="4"/>
      <c r="D375" s="4"/>
      <c r="E375" s="4"/>
      <c r="F375" s="4"/>
      <c r="G375" s="4"/>
      <c r="H375" s="4"/>
      <c r="I375" s="4"/>
      <c r="J375" s="4"/>
      <c r="K375" s="4"/>
      <c r="L375" s="4"/>
      <c r="M375" s="4"/>
      <c r="N375" s="4"/>
      <c r="O375" s="4"/>
      <c r="P375" s="4"/>
      <c r="Q375" s="4"/>
      <c r="R375" s="4"/>
      <c r="Y375" s="3"/>
      <c r="Z375" s="3"/>
      <c r="AA375" s="3"/>
      <c r="AB375" s="3"/>
    </row>
    <row r="376">
      <c r="A376" s="4"/>
      <c r="B376" s="4"/>
      <c r="C376" s="4"/>
      <c r="D376" s="4"/>
      <c r="E376" s="4"/>
      <c r="F376" s="4"/>
      <c r="G376" s="4"/>
      <c r="H376" s="4"/>
      <c r="I376" s="4"/>
      <c r="J376" s="4"/>
      <c r="K376" s="4"/>
      <c r="L376" s="4"/>
      <c r="M376" s="4"/>
      <c r="N376" s="4"/>
      <c r="O376" s="4"/>
      <c r="P376" s="4"/>
      <c r="Q376" s="4"/>
      <c r="R376" s="4"/>
      <c r="Y376" s="3"/>
      <c r="Z376" s="3"/>
      <c r="AA376" s="3"/>
      <c r="AB376" s="3"/>
    </row>
    <row r="377">
      <c r="A377" s="4"/>
      <c r="B377" s="4"/>
      <c r="C377" s="4"/>
      <c r="D377" s="4"/>
      <c r="E377" s="4"/>
      <c r="F377" s="4"/>
      <c r="G377" s="4"/>
      <c r="H377" s="4"/>
      <c r="I377" s="4"/>
      <c r="J377" s="4"/>
      <c r="K377" s="4"/>
      <c r="L377" s="4"/>
      <c r="M377" s="4"/>
      <c r="N377" s="4"/>
      <c r="O377" s="4"/>
      <c r="P377" s="4"/>
      <c r="Q377" s="4"/>
      <c r="R377" s="4"/>
      <c r="Y377" s="3"/>
      <c r="Z377" s="3"/>
      <c r="AA377" s="3"/>
      <c r="AB377" s="3"/>
    </row>
    <row r="378">
      <c r="A378" s="4"/>
      <c r="B378" s="4"/>
      <c r="C378" s="4"/>
      <c r="D378" s="4"/>
      <c r="E378" s="4"/>
      <c r="F378" s="4"/>
      <c r="G378" s="4"/>
      <c r="H378" s="4"/>
      <c r="I378" s="4"/>
      <c r="J378" s="4"/>
      <c r="K378" s="4"/>
      <c r="L378" s="4"/>
      <c r="M378" s="4"/>
      <c r="N378" s="4"/>
      <c r="O378" s="4"/>
      <c r="P378" s="4"/>
      <c r="Q378" s="4"/>
      <c r="R378" s="4"/>
      <c r="Y378" s="3"/>
      <c r="Z378" s="3"/>
      <c r="AA378" s="3"/>
      <c r="AB378" s="3"/>
    </row>
    <row r="379">
      <c r="A379" s="4"/>
      <c r="B379" s="4"/>
      <c r="C379" s="4"/>
      <c r="D379" s="4"/>
      <c r="E379" s="4"/>
      <c r="F379" s="4"/>
      <c r="G379" s="4"/>
      <c r="H379" s="4"/>
      <c r="I379" s="4"/>
      <c r="J379" s="4"/>
      <c r="K379" s="4"/>
      <c r="L379" s="4"/>
      <c r="M379" s="4"/>
      <c r="N379" s="4"/>
      <c r="O379" s="4"/>
      <c r="P379" s="4"/>
      <c r="Q379" s="4"/>
      <c r="R379" s="4"/>
      <c r="Y379" s="3"/>
      <c r="Z379" s="3"/>
      <c r="AA379" s="3"/>
      <c r="AB379" s="3"/>
    </row>
    <row r="380">
      <c r="A380" s="4"/>
      <c r="B380" s="4"/>
      <c r="C380" s="4"/>
      <c r="D380" s="4"/>
      <c r="E380" s="4"/>
      <c r="F380" s="4"/>
      <c r="G380" s="4"/>
      <c r="H380" s="4"/>
      <c r="I380" s="4"/>
      <c r="J380" s="4"/>
      <c r="K380" s="4"/>
      <c r="L380" s="4"/>
      <c r="M380" s="4"/>
      <c r="N380" s="4"/>
      <c r="O380" s="4"/>
      <c r="P380" s="4"/>
      <c r="Q380" s="4"/>
      <c r="R380" s="4"/>
      <c r="Y380" s="3"/>
      <c r="Z380" s="3"/>
      <c r="AA380" s="3"/>
      <c r="AB380" s="3"/>
    </row>
    <row r="381">
      <c r="A381" s="4"/>
      <c r="B381" s="4"/>
      <c r="C381" s="4"/>
      <c r="D381" s="4"/>
      <c r="E381" s="4"/>
      <c r="F381" s="4"/>
      <c r="G381" s="4"/>
      <c r="H381" s="4"/>
      <c r="I381" s="4"/>
      <c r="J381" s="4"/>
      <c r="K381" s="4"/>
      <c r="L381" s="4"/>
      <c r="M381" s="4"/>
      <c r="N381" s="4"/>
      <c r="O381" s="4"/>
      <c r="P381" s="4"/>
      <c r="Q381" s="4"/>
      <c r="R381" s="4"/>
      <c r="Y381" s="3"/>
      <c r="Z381" s="3"/>
      <c r="AA381" s="3"/>
      <c r="AB381" s="3"/>
    </row>
    <row r="382">
      <c r="A382" s="4"/>
      <c r="B382" s="4"/>
      <c r="C382" s="4"/>
      <c r="D382" s="4"/>
      <c r="E382" s="4"/>
      <c r="F382" s="4"/>
      <c r="G382" s="4"/>
      <c r="H382" s="4"/>
      <c r="I382" s="4"/>
      <c r="J382" s="4"/>
      <c r="K382" s="4"/>
      <c r="L382" s="4"/>
      <c r="M382" s="4"/>
      <c r="N382" s="4"/>
      <c r="O382" s="4"/>
      <c r="P382" s="4"/>
      <c r="Q382" s="4"/>
      <c r="R382" s="4"/>
      <c r="Y382" s="3"/>
      <c r="Z382" s="3"/>
      <c r="AA382" s="3"/>
      <c r="AB382" s="3"/>
    </row>
    <row r="383">
      <c r="A383" s="4"/>
      <c r="B383" s="4"/>
      <c r="C383" s="4"/>
      <c r="D383" s="4"/>
      <c r="E383" s="4"/>
      <c r="F383" s="4"/>
      <c r="G383" s="4"/>
      <c r="H383" s="4"/>
      <c r="I383" s="4"/>
      <c r="J383" s="4"/>
      <c r="K383" s="4"/>
      <c r="L383" s="4"/>
      <c r="M383" s="4"/>
      <c r="N383" s="4"/>
      <c r="O383" s="4"/>
      <c r="P383" s="4"/>
      <c r="Q383" s="4"/>
      <c r="R383" s="4"/>
      <c r="Y383" s="3"/>
      <c r="Z383" s="3"/>
      <c r="AA383" s="3"/>
      <c r="AB383" s="3"/>
    </row>
    <row r="384">
      <c r="A384" s="4"/>
      <c r="B384" s="4"/>
      <c r="C384" s="4"/>
      <c r="D384" s="4"/>
      <c r="E384" s="4"/>
      <c r="F384" s="4"/>
      <c r="G384" s="4"/>
      <c r="H384" s="4"/>
      <c r="I384" s="4"/>
      <c r="J384" s="4"/>
      <c r="K384" s="4"/>
      <c r="L384" s="4"/>
      <c r="M384" s="4"/>
      <c r="N384" s="4"/>
      <c r="O384" s="4"/>
      <c r="P384" s="4"/>
      <c r="Q384" s="4"/>
      <c r="R384" s="4"/>
      <c r="Y384" s="3"/>
      <c r="Z384" s="3"/>
      <c r="AA384" s="3"/>
      <c r="AB384" s="3"/>
    </row>
    <row r="385">
      <c r="A385" s="4"/>
      <c r="B385" s="4"/>
      <c r="C385" s="4"/>
      <c r="D385" s="4"/>
      <c r="E385" s="4"/>
      <c r="F385" s="4"/>
      <c r="G385" s="4"/>
      <c r="H385" s="4"/>
      <c r="I385" s="4"/>
      <c r="J385" s="4"/>
      <c r="K385" s="4"/>
      <c r="L385" s="4"/>
      <c r="M385" s="4"/>
      <c r="N385" s="4"/>
      <c r="O385" s="4"/>
      <c r="P385" s="4"/>
      <c r="Q385" s="4"/>
      <c r="R385" s="4"/>
      <c r="Y385" s="3"/>
      <c r="Z385" s="3"/>
      <c r="AA385" s="3"/>
      <c r="AB385" s="3"/>
    </row>
    <row r="386">
      <c r="A386" s="4"/>
      <c r="B386" s="4"/>
      <c r="C386" s="4"/>
      <c r="D386" s="4"/>
      <c r="E386" s="4"/>
      <c r="F386" s="4"/>
      <c r="G386" s="4"/>
      <c r="H386" s="4"/>
      <c r="I386" s="4"/>
      <c r="J386" s="4"/>
      <c r="K386" s="4"/>
      <c r="L386" s="4"/>
      <c r="M386" s="4"/>
      <c r="N386" s="4"/>
      <c r="O386" s="4"/>
      <c r="P386" s="4"/>
      <c r="Q386" s="4"/>
      <c r="R386" s="4"/>
      <c r="Y386" s="3"/>
      <c r="Z386" s="3"/>
      <c r="AA386" s="3"/>
      <c r="AB386" s="3"/>
    </row>
    <row r="387">
      <c r="A387" s="4"/>
      <c r="B387" s="4"/>
      <c r="C387" s="4"/>
      <c r="D387" s="4"/>
      <c r="E387" s="4"/>
      <c r="F387" s="4"/>
      <c r="G387" s="4"/>
      <c r="H387" s="4"/>
      <c r="I387" s="4"/>
      <c r="J387" s="4"/>
      <c r="K387" s="4"/>
      <c r="L387" s="4"/>
      <c r="M387" s="4"/>
      <c r="N387" s="4"/>
      <c r="O387" s="4"/>
      <c r="P387" s="4"/>
      <c r="Q387" s="4"/>
      <c r="R387" s="4"/>
      <c r="Y387" s="3"/>
      <c r="Z387" s="3"/>
      <c r="AA387" s="3"/>
      <c r="AB387" s="3"/>
    </row>
    <row r="388">
      <c r="A388" s="4"/>
      <c r="B388" s="4"/>
      <c r="C388" s="4"/>
      <c r="D388" s="4"/>
      <c r="E388" s="4"/>
      <c r="F388" s="4"/>
      <c r="G388" s="4"/>
      <c r="H388" s="4"/>
      <c r="I388" s="4"/>
      <c r="J388" s="4"/>
      <c r="K388" s="4"/>
      <c r="L388" s="4"/>
      <c r="M388" s="4"/>
      <c r="N388" s="4"/>
      <c r="O388" s="4"/>
      <c r="P388" s="4"/>
      <c r="Q388" s="4"/>
      <c r="R388" s="4"/>
      <c r="Y388" s="3"/>
      <c r="Z388" s="3"/>
      <c r="AA388" s="3"/>
      <c r="AB388" s="3"/>
    </row>
    <row r="389">
      <c r="A389" s="4"/>
      <c r="B389" s="4"/>
      <c r="C389" s="4"/>
      <c r="D389" s="4"/>
      <c r="E389" s="4"/>
      <c r="F389" s="4"/>
      <c r="G389" s="4"/>
      <c r="H389" s="4"/>
      <c r="I389" s="4"/>
      <c r="J389" s="4"/>
      <c r="K389" s="4"/>
      <c r="L389" s="4"/>
      <c r="M389" s="4"/>
      <c r="N389" s="4"/>
      <c r="O389" s="4"/>
      <c r="P389" s="4"/>
      <c r="Q389" s="4"/>
      <c r="R389" s="4"/>
      <c r="Y389" s="3"/>
      <c r="Z389" s="3"/>
      <c r="AA389" s="3"/>
      <c r="AB389" s="3"/>
    </row>
    <row r="390">
      <c r="A390" s="4"/>
      <c r="B390" s="4"/>
      <c r="C390" s="4"/>
      <c r="D390" s="4"/>
      <c r="E390" s="4"/>
      <c r="F390" s="4"/>
      <c r="G390" s="4"/>
      <c r="H390" s="4"/>
      <c r="I390" s="4"/>
      <c r="J390" s="4"/>
      <c r="K390" s="4"/>
      <c r="L390" s="4"/>
      <c r="M390" s="4"/>
      <c r="N390" s="4"/>
      <c r="O390" s="4"/>
      <c r="P390" s="4"/>
      <c r="Q390" s="4"/>
      <c r="R390" s="4"/>
      <c r="Y390" s="3"/>
      <c r="Z390" s="3"/>
      <c r="AA390" s="3"/>
      <c r="AB390" s="3"/>
    </row>
    <row r="391">
      <c r="A391" s="4"/>
      <c r="B391" s="4"/>
      <c r="C391" s="4"/>
      <c r="D391" s="4"/>
      <c r="E391" s="4"/>
      <c r="F391" s="4"/>
      <c r="G391" s="4"/>
      <c r="H391" s="4"/>
      <c r="I391" s="4"/>
      <c r="J391" s="4"/>
      <c r="K391" s="4"/>
      <c r="L391" s="4"/>
      <c r="M391" s="4"/>
      <c r="N391" s="4"/>
      <c r="O391" s="4"/>
      <c r="P391" s="4"/>
      <c r="Q391" s="4"/>
      <c r="R391" s="4"/>
      <c r="Y391" s="3"/>
      <c r="Z391" s="3"/>
      <c r="AA391" s="3"/>
      <c r="AB391" s="3"/>
    </row>
    <row r="392">
      <c r="A392" s="4"/>
      <c r="B392" s="4"/>
      <c r="C392" s="4"/>
      <c r="D392" s="4"/>
      <c r="E392" s="4"/>
      <c r="F392" s="4"/>
      <c r="G392" s="4"/>
      <c r="H392" s="4"/>
      <c r="I392" s="4"/>
      <c r="J392" s="4"/>
      <c r="K392" s="4"/>
      <c r="L392" s="4"/>
      <c r="M392" s="4"/>
      <c r="N392" s="4"/>
      <c r="O392" s="4"/>
      <c r="P392" s="4"/>
      <c r="Q392" s="4"/>
      <c r="R392" s="4"/>
      <c r="Y392" s="3"/>
      <c r="Z392" s="3"/>
      <c r="AA392" s="3"/>
      <c r="AB392" s="3"/>
    </row>
    <row r="393">
      <c r="A393" s="4"/>
      <c r="B393" s="4"/>
      <c r="C393" s="4"/>
      <c r="D393" s="4"/>
      <c r="E393" s="4"/>
      <c r="F393" s="4"/>
      <c r="G393" s="4"/>
      <c r="H393" s="4"/>
      <c r="I393" s="4"/>
      <c r="J393" s="4"/>
      <c r="K393" s="4"/>
      <c r="L393" s="4"/>
      <c r="M393" s="4"/>
      <c r="N393" s="4"/>
      <c r="O393" s="4"/>
      <c r="P393" s="4"/>
      <c r="Q393" s="4"/>
      <c r="R393" s="4"/>
      <c r="Y393" s="3"/>
      <c r="Z393" s="3"/>
      <c r="AA393" s="3"/>
      <c r="AB393" s="3"/>
    </row>
    <row r="394">
      <c r="A394" s="4"/>
      <c r="B394" s="4"/>
      <c r="C394" s="4"/>
      <c r="D394" s="4"/>
      <c r="E394" s="4"/>
      <c r="F394" s="4"/>
      <c r="G394" s="4"/>
      <c r="H394" s="4"/>
      <c r="I394" s="4"/>
      <c r="J394" s="4"/>
      <c r="K394" s="4"/>
      <c r="L394" s="4"/>
      <c r="M394" s="4"/>
      <c r="N394" s="4"/>
      <c r="O394" s="4"/>
      <c r="P394" s="4"/>
      <c r="Q394" s="4"/>
      <c r="R394" s="4"/>
      <c r="Y394" s="3"/>
      <c r="Z394" s="3"/>
      <c r="AA394" s="3"/>
      <c r="AB394" s="3"/>
    </row>
    <row r="395">
      <c r="A395" s="4"/>
      <c r="B395" s="4"/>
      <c r="C395" s="4"/>
      <c r="D395" s="4"/>
      <c r="E395" s="4"/>
      <c r="F395" s="4"/>
      <c r="G395" s="4"/>
      <c r="H395" s="4"/>
      <c r="I395" s="4"/>
      <c r="J395" s="4"/>
      <c r="K395" s="4"/>
      <c r="L395" s="4"/>
      <c r="M395" s="4"/>
      <c r="N395" s="4"/>
      <c r="O395" s="4"/>
      <c r="P395" s="4"/>
      <c r="Q395" s="4"/>
      <c r="R395" s="4"/>
      <c r="Y395" s="3"/>
      <c r="Z395" s="3"/>
      <c r="AA395" s="3"/>
      <c r="AB395" s="3"/>
    </row>
    <row r="396">
      <c r="A396" s="4"/>
      <c r="B396" s="4"/>
      <c r="C396" s="4"/>
      <c r="D396" s="4"/>
      <c r="E396" s="4"/>
      <c r="F396" s="4"/>
      <c r="G396" s="4"/>
      <c r="H396" s="4"/>
      <c r="I396" s="4"/>
      <c r="J396" s="4"/>
      <c r="K396" s="4"/>
      <c r="L396" s="4"/>
      <c r="M396" s="4"/>
      <c r="N396" s="4"/>
      <c r="O396" s="4"/>
      <c r="P396" s="4"/>
      <c r="Q396" s="4"/>
      <c r="R396" s="4"/>
      <c r="Y396" s="3"/>
      <c r="Z396" s="3"/>
      <c r="AA396" s="3"/>
      <c r="AB396" s="3"/>
    </row>
    <row r="397">
      <c r="A397" s="4"/>
      <c r="B397" s="4"/>
      <c r="C397" s="4"/>
      <c r="D397" s="4"/>
      <c r="E397" s="4"/>
      <c r="F397" s="4"/>
      <c r="G397" s="4"/>
      <c r="H397" s="4"/>
      <c r="I397" s="4"/>
      <c r="J397" s="4"/>
      <c r="K397" s="4"/>
      <c r="L397" s="4"/>
      <c r="M397" s="4"/>
      <c r="N397" s="4"/>
      <c r="O397" s="4"/>
      <c r="P397" s="4"/>
      <c r="Q397" s="4"/>
      <c r="R397" s="4"/>
      <c r="Y397" s="3"/>
      <c r="Z397" s="3"/>
      <c r="AA397" s="3"/>
      <c r="AB397" s="3"/>
    </row>
    <row r="398">
      <c r="A398" s="4"/>
      <c r="B398" s="4"/>
      <c r="C398" s="4"/>
      <c r="D398" s="4"/>
      <c r="E398" s="4"/>
      <c r="F398" s="4"/>
      <c r="G398" s="4"/>
      <c r="H398" s="4"/>
      <c r="I398" s="4"/>
      <c r="J398" s="4"/>
      <c r="K398" s="4"/>
      <c r="L398" s="4"/>
      <c r="M398" s="4"/>
      <c r="N398" s="4"/>
      <c r="O398" s="4"/>
      <c r="P398" s="4"/>
      <c r="Q398" s="4"/>
      <c r="R398" s="4"/>
      <c r="Y398" s="3"/>
      <c r="Z398" s="3"/>
      <c r="AA398" s="3"/>
      <c r="AB398" s="3"/>
    </row>
    <row r="399">
      <c r="A399" s="4"/>
      <c r="B399" s="4"/>
      <c r="C399" s="4"/>
      <c r="D399" s="4"/>
      <c r="E399" s="4"/>
      <c r="F399" s="4"/>
      <c r="G399" s="4"/>
      <c r="H399" s="4"/>
      <c r="I399" s="4"/>
      <c r="J399" s="4"/>
      <c r="K399" s="4"/>
      <c r="L399" s="4"/>
      <c r="M399" s="4"/>
      <c r="N399" s="4"/>
      <c r="O399" s="4"/>
      <c r="P399" s="4"/>
      <c r="Q399" s="4"/>
      <c r="R399" s="4"/>
      <c r="Y399" s="3"/>
      <c r="Z399" s="3"/>
      <c r="AA399" s="3"/>
      <c r="AB399" s="3"/>
    </row>
    <row r="400">
      <c r="A400" s="4"/>
      <c r="B400" s="4"/>
      <c r="C400" s="4"/>
      <c r="D400" s="4"/>
      <c r="E400" s="4"/>
      <c r="F400" s="4"/>
      <c r="G400" s="4"/>
      <c r="H400" s="4"/>
      <c r="I400" s="4"/>
      <c r="J400" s="4"/>
      <c r="K400" s="4"/>
      <c r="L400" s="4"/>
      <c r="M400" s="4"/>
      <c r="N400" s="4"/>
      <c r="O400" s="4"/>
      <c r="P400" s="4"/>
      <c r="Q400" s="4"/>
      <c r="R400" s="4"/>
      <c r="Y400" s="3"/>
      <c r="Z400" s="3"/>
      <c r="AA400" s="3"/>
      <c r="AB400" s="3"/>
    </row>
    <row r="401">
      <c r="A401" s="4"/>
      <c r="B401" s="4"/>
      <c r="C401" s="4"/>
      <c r="D401" s="4"/>
      <c r="E401" s="4"/>
      <c r="F401" s="4"/>
      <c r="G401" s="4"/>
      <c r="H401" s="4"/>
      <c r="I401" s="4"/>
      <c r="J401" s="4"/>
      <c r="K401" s="4"/>
      <c r="L401" s="4"/>
      <c r="M401" s="4"/>
      <c r="N401" s="4"/>
      <c r="O401" s="4"/>
      <c r="P401" s="4"/>
      <c r="Q401" s="4"/>
      <c r="R401" s="4"/>
      <c r="Y401" s="3"/>
      <c r="Z401" s="3"/>
      <c r="AA401" s="3"/>
      <c r="AB401" s="3"/>
    </row>
    <row r="402">
      <c r="A402" s="4"/>
      <c r="B402" s="4"/>
      <c r="C402" s="4"/>
      <c r="D402" s="4"/>
      <c r="E402" s="4"/>
      <c r="F402" s="4"/>
      <c r="G402" s="4"/>
      <c r="H402" s="4"/>
      <c r="I402" s="4"/>
      <c r="J402" s="4"/>
      <c r="K402" s="4"/>
      <c r="L402" s="4"/>
      <c r="M402" s="4"/>
      <c r="N402" s="4"/>
      <c r="O402" s="4"/>
      <c r="P402" s="4"/>
      <c r="Q402" s="4"/>
      <c r="R402" s="4"/>
      <c r="Y402" s="3"/>
      <c r="Z402" s="3"/>
      <c r="AA402" s="3"/>
      <c r="AB402" s="3"/>
    </row>
    <row r="403">
      <c r="A403" s="4"/>
      <c r="B403" s="4"/>
      <c r="C403" s="4"/>
      <c r="D403" s="4"/>
      <c r="E403" s="4"/>
      <c r="F403" s="4"/>
      <c r="G403" s="4"/>
      <c r="H403" s="4"/>
      <c r="I403" s="4"/>
      <c r="J403" s="4"/>
      <c r="K403" s="4"/>
      <c r="L403" s="4"/>
      <c r="M403" s="4"/>
      <c r="N403" s="4"/>
      <c r="O403" s="4"/>
      <c r="P403" s="4"/>
      <c r="Q403" s="4"/>
      <c r="R403" s="4"/>
      <c r="Y403" s="3"/>
      <c r="Z403" s="3"/>
      <c r="AA403" s="3"/>
      <c r="AB403" s="3"/>
    </row>
    <row r="404">
      <c r="A404" s="4"/>
      <c r="B404" s="4"/>
      <c r="C404" s="4"/>
      <c r="D404" s="4"/>
      <c r="E404" s="4"/>
      <c r="F404" s="4"/>
      <c r="G404" s="4"/>
      <c r="H404" s="4"/>
      <c r="I404" s="4"/>
      <c r="J404" s="4"/>
      <c r="K404" s="4"/>
      <c r="L404" s="4"/>
      <c r="M404" s="4"/>
      <c r="N404" s="4"/>
      <c r="O404" s="4"/>
      <c r="P404" s="4"/>
      <c r="Q404" s="4"/>
      <c r="R404" s="4"/>
      <c r="Y404" s="3"/>
      <c r="Z404" s="3"/>
      <c r="AA404" s="3"/>
      <c r="AB404" s="3"/>
    </row>
    <row r="405">
      <c r="A405" s="4"/>
      <c r="B405" s="4"/>
      <c r="C405" s="4"/>
      <c r="D405" s="4"/>
      <c r="E405" s="4"/>
      <c r="F405" s="4"/>
      <c r="G405" s="4"/>
      <c r="H405" s="4"/>
      <c r="I405" s="4"/>
      <c r="J405" s="4"/>
      <c r="K405" s="4"/>
      <c r="L405" s="4"/>
      <c r="M405" s="4"/>
      <c r="N405" s="4"/>
      <c r="O405" s="4"/>
      <c r="P405" s="4"/>
      <c r="Q405" s="4"/>
      <c r="R405" s="4"/>
      <c r="Y405" s="3"/>
      <c r="Z405" s="3"/>
      <c r="AA405" s="3"/>
      <c r="AB405" s="3"/>
    </row>
    <row r="406">
      <c r="A406" s="4"/>
      <c r="B406" s="4"/>
      <c r="C406" s="4"/>
      <c r="D406" s="4"/>
      <c r="E406" s="4"/>
      <c r="F406" s="4"/>
      <c r="G406" s="4"/>
      <c r="H406" s="4"/>
      <c r="I406" s="4"/>
      <c r="J406" s="4"/>
      <c r="K406" s="4"/>
      <c r="L406" s="4"/>
      <c r="M406" s="4"/>
      <c r="N406" s="4"/>
      <c r="O406" s="4"/>
      <c r="P406" s="4"/>
      <c r="Q406" s="4"/>
      <c r="R406" s="4"/>
      <c r="Y406" s="3"/>
      <c r="Z406" s="3"/>
      <c r="AA406" s="3"/>
      <c r="AB406" s="3"/>
    </row>
    <row r="407">
      <c r="A407" s="4"/>
      <c r="B407" s="4"/>
      <c r="C407" s="4"/>
      <c r="D407" s="4"/>
      <c r="E407" s="4"/>
      <c r="F407" s="4"/>
      <c r="G407" s="4"/>
      <c r="H407" s="4"/>
      <c r="I407" s="4"/>
      <c r="J407" s="4"/>
      <c r="K407" s="4"/>
      <c r="L407" s="4"/>
      <c r="M407" s="4"/>
      <c r="N407" s="4"/>
      <c r="O407" s="4"/>
      <c r="P407" s="4"/>
      <c r="Q407" s="4"/>
      <c r="R407" s="4"/>
      <c r="Y407" s="3"/>
      <c r="Z407" s="3"/>
      <c r="AA407" s="3"/>
      <c r="AB407" s="3"/>
    </row>
    <row r="408">
      <c r="A408" s="4"/>
      <c r="B408" s="4"/>
      <c r="C408" s="4"/>
      <c r="D408" s="4"/>
      <c r="E408" s="4"/>
      <c r="F408" s="4"/>
      <c r="G408" s="4"/>
      <c r="H408" s="4"/>
      <c r="I408" s="4"/>
      <c r="J408" s="4"/>
      <c r="K408" s="4"/>
      <c r="L408" s="4"/>
      <c r="M408" s="4"/>
      <c r="N408" s="4"/>
      <c r="O408" s="4"/>
      <c r="P408" s="4"/>
      <c r="Q408" s="4"/>
      <c r="R408" s="4"/>
      <c r="Y408" s="3"/>
      <c r="Z408" s="3"/>
      <c r="AA408" s="3"/>
      <c r="AB408" s="3"/>
    </row>
    <row r="409">
      <c r="A409" s="4"/>
      <c r="B409" s="4"/>
      <c r="C409" s="4"/>
      <c r="D409" s="4"/>
      <c r="E409" s="4"/>
      <c r="F409" s="4"/>
      <c r="G409" s="4"/>
      <c r="H409" s="4"/>
      <c r="I409" s="4"/>
      <c r="J409" s="4"/>
      <c r="K409" s="4"/>
      <c r="L409" s="4"/>
      <c r="M409" s="4"/>
      <c r="N409" s="4"/>
      <c r="O409" s="4"/>
      <c r="P409" s="4"/>
      <c r="Q409" s="4"/>
      <c r="R409" s="4"/>
      <c r="Y409" s="3"/>
      <c r="Z409" s="3"/>
      <c r="AA409" s="3"/>
      <c r="AB409" s="3"/>
    </row>
    <row r="410">
      <c r="A410" s="4"/>
      <c r="B410" s="4"/>
      <c r="C410" s="4"/>
      <c r="D410" s="4"/>
      <c r="E410" s="4"/>
      <c r="F410" s="4"/>
      <c r="G410" s="4"/>
      <c r="H410" s="4"/>
      <c r="I410" s="4"/>
      <c r="J410" s="4"/>
      <c r="K410" s="4"/>
      <c r="L410" s="4"/>
      <c r="M410" s="4"/>
      <c r="N410" s="4"/>
      <c r="O410" s="4"/>
      <c r="P410" s="4"/>
      <c r="Q410" s="4"/>
      <c r="R410" s="4"/>
      <c r="Y410" s="3"/>
      <c r="Z410" s="3"/>
      <c r="AA410" s="3"/>
      <c r="AB410" s="3"/>
    </row>
    <row r="411">
      <c r="A411" s="4"/>
      <c r="B411" s="4"/>
      <c r="C411" s="4"/>
      <c r="D411" s="4"/>
      <c r="E411" s="4"/>
      <c r="F411" s="4"/>
      <c r="G411" s="4"/>
      <c r="H411" s="4"/>
      <c r="I411" s="4"/>
      <c r="J411" s="4"/>
      <c r="K411" s="4"/>
      <c r="L411" s="4"/>
      <c r="M411" s="4"/>
      <c r="N411" s="4"/>
      <c r="O411" s="4"/>
      <c r="P411" s="4"/>
      <c r="Q411" s="4"/>
      <c r="R411" s="4"/>
      <c r="Y411" s="3"/>
      <c r="Z411" s="3"/>
      <c r="AA411" s="3"/>
      <c r="AB411" s="3"/>
    </row>
    <row r="412">
      <c r="A412" s="4"/>
      <c r="B412" s="4"/>
      <c r="C412" s="4"/>
      <c r="D412" s="4"/>
      <c r="E412" s="4"/>
      <c r="F412" s="4"/>
      <c r="G412" s="4"/>
      <c r="H412" s="4"/>
      <c r="I412" s="4"/>
      <c r="J412" s="4"/>
      <c r="K412" s="4"/>
      <c r="L412" s="4"/>
      <c r="M412" s="4"/>
      <c r="N412" s="4"/>
      <c r="O412" s="4"/>
      <c r="P412" s="4"/>
      <c r="Q412" s="4"/>
      <c r="R412" s="4"/>
      <c r="Y412" s="3"/>
      <c r="Z412" s="3"/>
      <c r="AA412" s="3"/>
      <c r="AB412" s="3"/>
    </row>
    <row r="413">
      <c r="A413" s="4"/>
      <c r="B413" s="4"/>
      <c r="C413" s="4"/>
      <c r="D413" s="4"/>
      <c r="E413" s="4"/>
      <c r="F413" s="4"/>
      <c r="G413" s="4"/>
      <c r="H413" s="4"/>
      <c r="I413" s="4"/>
      <c r="J413" s="4"/>
      <c r="K413" s="4"/>
      <c r="L413" s="4"/>
      <c r="M413" s="4"/>
      <c r="N413" s="4"/>
      <c r="O413" s="4"/>
      <c r="P413" s="4"/>
      <c r="Q413" s="4"/>
      <c r="R413" s="4"/>
      <c r="Y413" s="3"/>
      <c r="Z413" s="3"/>
      <c r="AA413" s="3"/>
      <c r="AB413" s="3"/>
    </row>
    <row r="414">
      <c r="A414" s="4"/>
      <c r="B414" s="4"/>
      <c r="C414" s="4"/>
      <c r="D414" s="4"/>
      <c r="E414" s="4"/>
      <c r="F414" s="4"/>
      <c r="G414" s="4"/>
      <c r="H414" s="4"/>
      <c r="I414" s="4"/>
      <c r="J414" s="4"/>
      <c r="K414" s="4"/>
      <c r="L414" s="4"/>
      <c r="M414" s="4"/>
      <c r="N414" s="4"/>
      <c r="O414" s="4"/>
      <c r="P414" s="4"/>
      <c r="Q414" s="4"/>
      <c r="R414" s="4"/>
      <c r="Y414" s="3"/>
      <c r="Z414" s="3"/>
      <c r="AA414" s="3"/>
      <c r="AB414" s="3"/>
    </row>
    <row r="415">
      <c r="A415" s="4"/>
      <c r="B415" s="4"/>
      <c r="C415" s="4"/>
      <c r="D415" s="4"/>
      <c r="E415" s="4"/>
      <c r="F415" s="4"/>
      <c r="G415" s="4"/>
      <c r="H415" s="4"/>
      <c r="I415" s="4"/>
      <c r="J415" s="4"/>
      <c r="K415" s="4"/>
      <c r="L415" s="4"/>
      <c r="M415" s="4"/>
      <c r="N415" s="4"/>
      <c r="O415" s="4"/>
      <c r="P415" s="4"/>
      <c r="Q415" s="4"/>
      <c r="R415" s="4"/>
      <c r="Y415" s="3"/>
      <c r="Z415" s="3"/>
      <c r="AA415" s="3"/>
      <c r="AB415" s="3"/>
    </row>
    <row r="416">
      <c r="A416" s="4"/>
      <c r="B416" s="4"/>
      <c r="C416" s="4"/>
      <c r="D416" s="4"/>
      <c r="E416" s="4"/>
      <c r="F416" s="4"/>
      <c r="G416" s="4"/>
      <c r="H416" s="4"/>
      <c r="I416" s="4"/>
      <c r="J416" s="4"/>
      <c r="K416" s="4"/>
      <c r="L416" s="4"/>
      <c r="M416" s="4"/>
      <c r="N416" s="4"/>
      <c r="O416" s="4"/>
      <c r="P416" s="4"/>
      <c r="Q416" s="4"/>
      <c r="R416" s="4"/>
      <c r="Y416" s="3"/>
      <c r="Z416" s="3"/>
      <c r="AA416" s="3"/>
      <c r="AB416" s="3"/>
    </row>
    <row r="417">
      <c r="A417" s="4"/>
      <c r="B417" s="4"/>
      <c r="C417" s="4"/>
      <c r="D417" s="4"/>
      <c r="E417" s="4"/>
      <c r="F417" s="4"/>
      <c r="G417" s="4"/>
      <c r="H417" s="4"/>
      <c r="I417" s="4"/>
      <c r="J417" s="4"/>
      <c r="K417" s="4"/>
      <c r="L417" s="4"/>
      <c r="M417" s="4"/>
      <c r="N417" s="4"/>
      <c r="O417" s="4"/>
      <c r="P417" s="4"/>
      <c r="Q417" s="4"/>
      <c r="R417" s="4"/>
      <c r="Y417" s="3"/>
      <c r="Z417" s="3"/>
      <c r="AA417" s="3"/>
      <c r="AB417" s="3"/>
    </row>
    <row r="418">
      <c r="A418" s="4"/>
      <c r="B418" s="4"/>
      <c r="C418" s="4"/>
      <c r="D418" s="4"/>
      <c r="E418" s="4"/>
      <c r="F418" s="4"/>
      <c r="G418" s="4"/>
      <c r="H418" s="4"/>
      <c r="I418" s="4"/>
      <c r="J418" s="4"/>
      <c r="K418" s="4"/>
      <c r="L418" s="4"/>
      <c r="M418" s="4"/>
      <c r="N418" s="4"/>
      <c r="O418" s="4"/>
      <c r="P418" s="4"/>
      <c r="Q418" s="4"/>
      <c r="R418" s="4"/>
      <c r="Y418" s="3"/>
      <c r="Z418" s="3"/>
      <c r="AA418" s="3"/>
      <c r="AB418" s="3"/>
    </row>
    <row r="419">
      <c r="A419" s="4"/>
      <c r="B419" s="4"/>
      <c r="C419" s="4"/>
      <c r="D419" s="4"/>
      <c r="E419" s="4"/>
      <c r="F419" s="4"/>
      <c r="G419" s="4"/>
      <c r="H419" s="4"/>
      <c r="I419" s="4"/>
      <c r="J419" s="4"/>
      <c r="K419" s="4"/>
      <c r="L419" s="4"/>
      <c r="M419" s="4"/>
      <c r="N419" s="4"/>
      <c r="O419" s="4"/>
      <c r="P419" s="4"/>
      <c r="Q419" s="4"/>
      <c r="R419" s="4"/>
      <c r="Y419" s="3"/>
      <c r="Z419" s="3"/>
      <c r="AA419" s="3"/>
      <c r="AB419" s="3"/>
    </row>
    <row r="420">
      <c r="A420" s="4"/>
      <c r="B420" s="4"/>
      <c r="C420" s="4"/>
      <c r="D420" s="4"/>
      <c r="E420" s="4"/>
      <c r="F420" s="4"/>
      <c r="G420" s="4"/>
      <c r="H420" s="4"/>
      <c r="I420" s="4"/>
      <c r="J420" s="4"/>
      <c r="K420" s="4"/>
      <c r="L420" s="4"/>
      <c r="M420" s="4"/>
      <c r="N420" s="4"/>
      <c r="O420" s="4"/>
      <c r="P420" s="4"/>
      <c r="Q420" s="4"/>
      <c r="R420" s="4"/>
      <c r="Y420" s="3"/>
      <c r="Z420" s="3"/>
      <c r="AA420" s="3"/>
      <c r="AB420" s="3"/>
    </row>
    <row r="421">
      <c r="A421" s="4"/>
      <c r="B421" s="4"/>
      <c r="C421" s="4"/>
      <c r="D421" s="4"/>
      <c r="E421" s="4"/>
      <c r="F421" s="4"/>
      <c r="G421" s="4"/>
      <c r="H421" s="4"/>
      <c r="I421" s="4"/>
      <c r="J421" s="4"/>
      <c r="K421" s="4"/>
      <c r="L421" s="4"/>
      <c r="M421" s="4"/>
      <c r="N421" s="4"/>
      <c r="O421" s="4"/>
      <c r="P421" s="4"/>
      <c r="Q421" s="4"/>
      <c r="R421" s="4"/>
      <c r="Y421" s="3"/>
      <c r="Z421" s="3"/>
      <c r="AA421" s="3"/>
      <c r="AB421" s="3"/>
    </row>
    <row r="422">
      <c r="A422" s="4"/>
      <c r="B422" s="4"/>
      <c r="C422" s="4"/>
      <c r="D422" s="4"/>
      <c r="E422" s="4"/>
      <c r="F422" s="4"/>
      <c r="G422" s="4"/>
      <c r="H422" s="4"/>
      <c r="I422" s="4"/>
      <c r="J422" s="4"/>
      <c r="K422" s="4"/>
      <c r="L422" s="4"/>
      <c r="M422" s="4"/>
      <c r="N422" s="4"/>
      <c r="O422" s="4"/>
      <c r="P422" s="4"/>
      <c r="Q422" s="4"/>
      <c r="R422" s="4"/>
      <c r="Y422" s="3"/>
      <c r="Z422" s="3"/>
      <c r="AA422" s="3"/>
      <c r="AB422" s="3"/>
    </row>
    <row r="423">
      <c r="A423" s="4"/>
      <c r="B423" s="4"/>
      <c r="C423" s="4"/>
      <c r="D423" s="4"/>
      <c r="E423" s="4"/>
      <c r="F423" s="4"/>
      <c r="G423" s="4"/>
      <c r="H423" s="4"/>
      <c r="I423" s="4"/>
      <c r="J423" s="4"/>
      <c r="K423" s="4"/>
      <c r="L423" s="4"/>
      <c r="M423" s="4"/>
      <c r="N423" s="4"/>
      <c r="O423" s="4"/>
      <c r="P423" s="4"/>
      <c r="Q423" s="4"/>
      <c r="R423" s="4"/>
      <c r="Y423" s="3"/>
      <c r="Z423" s="3"/>
      <c r="AA423" s="3"/>
      <c r="AB423" s="3"/>
    </row>
    <row r="424">
      <c r="A424" s="4"/>
      <c r="B424" s="4"/>
      <c r="C424" s="4"/>
      <c r="D424" s="4"/>
      <c r="E424" s="4"/>
      <c r="F424" s="4"/>
      <c r="G424" s="4"/>
      <c r="H424" s="4"/>
      <c r="I424" s="4"/>
      <c r="J424" s="4"/>
      <c r="K424" s="4"/>
      <c r="L424" s="4"/>
      <c r="M424" s="4"/>
      <c r="N424" s="4"/>
      <c r="O424" s="4"/>
      <c r="P424" s="4"/>
      <c r="Q424" s="4"/>
      <c r="R424" s="4"/>
      <c r="Y424" s="3"/>
      <c r="Z424" s="3"/>
      <c r="AA424" s="3"/>
      <c r="AB424" s="3"/>
    </row>
    <row r="425">
      <c r="A425" s="4"/>
      <c r="B425" s="4"/>
      <c r="C425" s="4"/>
      <c r="D425" s="4"/>
      <c r="E425" s="4"/>
      <c r="F425" s="4"/>
      <c r="G425" s="4"/>
      <c r="H425" s="4"/>
      <c r="I425" s="4"/>
      <c r="J425" s="4"/>
      <c r="K425" s="4"/>
      <c r="L425" s="4"/>
      <c r="M425" s="4"/>
      <c r="N425" s="4"/>
      <c r="O425" s="4"/>
      <c r="P425" s="4"/>
      <c r="Q425" s="4"/>
      <c r="R425" s="4"/>
      <c r="Y425" s="3"/>
      <c r="Z425" s="3"/>
      <c r="AA425" s="3"/>
      <c r="AB425" s="3"/>
    </row>
    <row r="426">
      <c r="A426" s="4"/>
      <c r="B426" s="4"/>
      <c r="C426" s="4"/>
      <c r="D426" s="4"/>
      <c r="E426" s="4"/>
      <c r="F426" s="4"/>
      <c r="G426" s="4"/>
      <c r="H426" s="4"/>
      <c r="I426" s="4"/>
      <c r="J426" s="4"/>
      <c r="K426" s="4"/>
      <c r="L426" s="4"/>
      <c r="M426" s="4"/>
      <c r="N426" s="4"/>
      <c r="O426" s="4"/>
      <c r="P426" s="4"/>
      <c r="Q426" s="4"/>
      <c r="R426" s="4"/>
      <c r="Y426" s="3"/>
      <c r="Z426" s="3"/>
      <c r="AA426" s="3"/>
      <c r="AB426" s="3"/>
    </row>
    <row r="427">
      <c r="A427" s="4"/>
      <c r="B427" s="4"/>
      <c r="C427" s="4"/>
      <c r="D427" s="4"/>
      <c r="E427" s="4"/>
      <c r="F427" s="4"/>
      <c r="G427" s="4"/>
      <c r="H427" s="4"/>
      <c r="I427" s="4"/>
      <c r="J427" s="4"/>
      <c r="K427" s="4"/>
      <c r="L427" s="4"/>
      <c r="M427" s="4"/>
      <c r="N427" s="4"/>
      <c r="O427" s="4"/>
      <c r="P427" s="4"/>
      <c r="Q427" s="4"/>
      <c r="R427" s="4"/>
      <c r="Y427" s="3"/>
      <c r="Z427" s="3"/>
      <c r="AA427" s="3"/>
      <c r="AB427" s="3"/>
    </row>
    <row r="428">
      <c r="A428" s="4"/>
      <c r="B428" s="4"/>
      <c r="C428" s="4"/>
      <c r="D428" s="4"/>
      <c r="E428" s="4"/>
      <c r="F428" s="4"/>
      <c r="G428" s="4"/>
      <c r="H428" s="4"/>
      <c r="I428" s="4"/>
      <c r="J428" s="4"/>
      <c r="K428" s="4"/>
      <c r="L428" s="4"/>
      <c r="M428" s="4"/>
      <c r="N428" s="4"/>
      <c r="O428" s="4"/>
      <c r="P428" s="4"/>
      <c r="Q428" s="4"/>
      <c r="R428" s="4"/>
      <c r="Y428" s="3"/>
      <c r="Z428" s="3"/>
      <c r="AA428" s="3"/>
      <c r="AB428" s="3"/>
    </row>
    <row r="429">
      <c r="A429" s="4"/>
      <c r="B429" s="4"/>
      <c r="C429" s="4"/>
      <c r="D429" s="4"/>
      <c r="E429" s="4"/>
      <c r="F429" s="4"/>
      <c r="G429" s="4"/>
      <c r="H429" s="4"/>
      <c r="I429" s="4"/>
      <c r="J429" s="4"/>
      <c r="K429" s="4"/>
      <c r="L429" s="4"/>
      <c r="M429" s="4"/>
      <c r="N429" s="4"/>
      <c r="O429" s="4"/>
      <c r="P429" s="4"/>
      <c r="Q429" s="4"/>
      <c r="R429" s="4"/>
      <c r="Y429" s="3"/>
      <c r="Z429" s="3"/>
      <c r="AA429" s="3"/>
      <c r="AB429" s="3"/>
    </row>
    <row r="430">
      <c r="A430" s="4"/>
      <c r="B430" s="4"/>
      <c r="C430" s="4"/>
      <c r="D430" s="4"/>
      <c r="E430" s="4"/>
      <c r="F430" s="4"/>
      <c r="G430" s="4"/>
      <c r="H430" s="4"/>
      <c r="I430" s="4"/>
      <c r="J430" s="4"/>
      <c r="K430" s="4"/>
      <c r="L430" s="4"/>
      <c r="M430" s="4"/>
      <c r="N430" s="4"/>
      <c r="O430" s="4"/>
      <c r="P430" s="4"/>
      <c r="Q430" s="4"/>
      <c r="R430" s="4"/>
      <c r="Y430" s="3"/>
      <c r="Z430" s="3"/>
      <c r="AA430" s="3"/>
      <c r="AB430" s="3"/>
    </row>
    <row r="431">
      <c r="A431" s="4"/>
      <c r="B431" s="4"/>
      <c r="C431" s="4"/>
      <c r="D431" s="4"/>
      <c r="E431" s="4"/>
      <c r="F431" s="4"/>
      <c r="G431" s="4"/>
      <c r="H431" s="4"/>
      <c r="I431" s="4"/>
      <c r="J431" s="4"/>
      <c r="K431" s="4"/>
      <c r="L431" s="4"/>
      <c r="M431" s="4"/>
      <c r="N431" s="4"/>
      <c r="O431" s="4"/>
      <c r="P431" s="4"/>
      <c r="Q431" s="4"/>
      <c r="R431" s="4"/>
      <c r="Y431" s="3"/>
      <c r="Z431" s="3"/>
      <c r="AA431" s="3"/>
      <c r="AB431" s="3"/>
    </row>
    <row r="432">
      <c r="A432" s="4"/>
      <c r="B432" s="4"/>
      <c r="C432" s="4"/>
      <c r="D432" s="4"/>
      <c r="E432" s="4"/>
      <c r="F432" s="4"/>
      <c r="G432" s="4"/>
      <c r="H432" s="4"/>
      <c r="I432" s="4"/>
      <c r="J432" s="4"/>
      <c r="K432" s="4"/>
      <c r="L432" s="4"/>
      <c r="M432" s="4"/>
      <c r="N432" s="4"/>
      <c r="O432" s="4"/>
      <c r="P432" s="4"/>
      <c r="Q432" s="4"/>
      <c r="R432" s="4"/>
      <c r="Y432" s="3"/>
      <c r="Z432" s="3"/>
      <c r="AA432" s="3"/>
      <c r="AB432" s="3"/>
    </row>
    <row r="433">
      <c r="A433" s="4"/>
      <c r="B433" s="4"/>
      <c r="C433" s="4"/>
      <c r="D433" s="4"/>
      <c r="E433" s="4"/>
      <c r="F433" s="4"/>
      <c r="G433" s="4"/>
      <c r="H433" s="4"/>
      <c r="I433" s="4"/>
      <c r="J433" s="4"/>
      <c r="K433" s="4"/>
      <c r="L433" s="4"/>
      <c r="M433" s="4"/>
      <c r="N433" s="4"/>
      <c r="O433" s="4"/>
      <c r="P433" s="4"/>
      <c r="Q433" s="4"/>
      <c r="R433" s="4"/>
      <c r="Y433" s="3"/>
      <c r="Z433" s="3"/>
      <c r="AA433" s="3"/>
      <c r="AB433" s="3"/>
    </row>
    <row r="434">
      <c r="A434" s="4"/>
      <c r="B434" s="4"/>
      <c r="C434" s="4"/>
      <c r="D434" s="4"/>
      <c r="E434" s="4"/>
      <c r="F434" s="4"/>
      <c r="G434" s="4"/>
      <c r="H434" s="4"/>
      <c r="I434" s="4"/>
      <c r="J434" s="4"/>
      <c r="K434" s="4"/>
      <c r="L434" s="4"/>
      <c r="M434" s="4"/>
      <c r="N434" s="4"/>
      <c r="O434" s="4"/>
      <c r="P434" s="4"/>
      <c r="Q434" s="4"/>
      <c r="R434" s="4"/>
      <c r="Y434" s="3"/>
      <c r="Z434" s="3"/>
      <c r="AA434" s="3"/>
      <c r="AB434" s="3"/>
    </row>
    <row r="435">
      <c r="A435" s="4"/>
      <c r="B435" s="4"/>
      <c r="C435" s="4"/>
      <c r="D435" s="4"/>
      <c r="E435" s="4"/>
      <c r="F435" s="4"/>
      <c r="G435" s="4"/>
      <c r="H435" s="4"/>
      <c r="I435" s="4"/>
      <c r="J435" s="4"/>
      <c r="K435" s="4"/>
      <c r="L435" s="4"/>
      <c r="M435" s="4"/>
      <c r="N435" s="4"/>
      <c r="O435" s="4"/>
      <c r="P435" s="4"/>
      <c r="Q435" s="4"/>
      <c r="R435" s="4"/>
      <c r="Y435" s="3"/>
      <c r="Z435" s="3"/>
      <c r="AA435" s="3"/>
      <c r="AB435" s="3"/>
    </row>
    <row r="436">
      <c r="A436" s="4"/>
      <c r="B436" s="4"/>
      <c r="C436" s="4"/>
      <c r="D436" s="4"/>
      <c r="E436" s="4"/>
      <c r="F436" s="4"/>
      <c r="G436" s="4"/>
      <c r="H436" s="4"/>
      <c r="I436" s="4"/>
      <c r="J436" s="4"/>
      <c r="K436" s="4"/>
      <c r="L436" s="4"/>
      <c r="M436" s="4"/>
      <c r="N436" s="4"/>
      <c r="O436" s="4"/>
      <c r="P436" s="4"/>
      <c r="Q436" s="4"/>
      <c r="R436" s="4"/>
      <c r="Y436" s="3"/>
      <c r="Z436" s="3"/>
      <c r="AA436" s="3"/>
      <c r="AB436" s="3"/>
    </row>
    <row r="437">
      <c r="A437" s="4"/>
      <c r="B437" s="4"/>
      <c r="C437" s="4"/>
      <c r="D437" s="4"/>
      <c r="E437" s="4"/>
      <c r="F437" s="4"/>
      <c r="G437" s="4"/>
      <c r="H437" s="4"/>
      <c r="I437" s="4"/>
      <c r="J437" s="4"/>
      <c r="K437" s="4"/>
      <c r="L437" s="4"/>
      <c r="M437" s="4"/>
      <c r="N437" s="4"/>
      <c r="O437" s="4"/>
      <c r="P437" s="4"/>
      <c r="Q437" s="4"/>
      <c r="R437" s="4"/>
      <c r="Y437" s="3"/>
      <c r="Z437" s="3"/>
      <c r="AA437" s="3"/>
      <c r="AB437" s="3"/>
    </row>
    <row r="438">
      <c r="A438" s="4"/>
      <c r="B438" s="4"/>
      <c r="C438" s="4"/>
      <c r="D438" s="4"/>
      <c r="E438" s="4"/>
      <c r="F438" s="4"/>
      <c r="G438" s="4"/>
      <c r="H438" s="4"/>
      <c r="I438" s="4"/>
      <c r="J438" s="4"/>
      <c r="K438" s="4"/>
      <c r="L438" s="4"/>
      <c r="M438" s="4"/>
      <c r="N438" s="4"/>
      <c r="O438" s="4"/>
      <c r="P438" s="4"/>
      <c r="Q438" s="4"/>
      <c r="R438" s="4"/>
      <c r="Y438" s="3"/>
      <c r="Z438" s="3"/>
      <c r="AA438" s="3"/>
      <c r="AB438" s="3"/>
    </row>
    <row r="439">
      <c r="A439" s="4"/>
      <c r="B439" s="4"/>
      <c r="C439" s="4"/>
      <c r="D439" s="4"/>
      <c r="E439" s="4"/>
      <c r="F439" s="4"/>
      <c r="G439" s="4"/>
      <c r="H439" s="4"/>
      <c r="I439" s="4"/>
      <c r="J439" s="4"/>
      <c r="K439" s="4"/>
      <c r="L439" s="4"/>
      <c r="M439" s="4"/>
      <c r="N439" s="4"/>
      <c r="O439" s="4"/>
      <c r="P439" s="4"/>
      <c r="Q439" s="4"/>
      <c r="R439" s="4"/>
      <c r="Y439" s="3"/>
      <c r="Z439" s="3"/>
      <c r="AA439" s="3"/>
      <c r="AB439" s="3"/>
    </row>
    <row r="440">
      <c r="A440" s="4"/>
      <c r="B440" s="4"/>
      <c r="C440" s="4"/>
      <c r="D440" s="4"/>
      <c r="E440" s="4"/>
      <c r="F440" s="4"/>
      <c r="G440" s="4"/>
      <c r="H440" s="4"/>
      <c r="I440" s="4"/>
      <c r="J440" s="4"/>
      <c r="K440" s="4"/>
      <c r="L440" s="4"/>
      <c r="M440" s="4"/>
      <c r="N440" s="4"/>
      <c r="O440" s="4"/>
      <c r="P440" s="4"/>
      <c r="Q440" s="4"/>
      <c r="R440" s="4"/>
      <c r="Y440" s="3"/>
      <c r="Z440" s="3"/>
      <c r="AA440" s="3"/>
      <c r="AB440" s="3"/>
    </row>
    <row r="441">
      <c r="A441" s="4"/>
      <c r="B441" s="4"/>
      <c r="C441" s="4"/>
      <c r="D441" s="4"/>
      <c r="E441" s="4"/>
      <c r="F441" s="4"/>
      <c r="G441" s="4"/>
      <c r="H441" s="4"/>
      <c r="I441" s="4"/>
      <c r="J441" s="4"/>
      <c r="K441" s="4"/>
      <c r="L441" s="4"/>
      <c r="M441" s="4"/>
      <c r="N441" s="4"/>
      <c r="O441" s="4"/>
      <c r="P441" s="4"/>
      <c r="Q441" s="4"/>
      <c r="R441" s="4"/>
      <c r="Y441" s="3"/>
      <c r="Z441" s="3"/>
      <c r="AA441" s="3"/>
      <c r="AB441" s="3"/>
    </row>
    <row r="442">
      <c r="A442" s="4"/>
      <c r="B442" s="4"/>
      <c r="C442" s="4"/>
      <c r="D442" s="4"/>
      <c r="E442" s="4"/>
      <c r="F442" s="4"/>
      <c r="G442" s="4"/>
      <c r="H442" s="4"/>
      <c r="I442" s="4"/>
      <c r="J442" s="4"/>
      <c r="K442" s="4"/>
      <c r="L442" s="4"/>
      <c r="M442" s="4"/>
      <c r="N442" s="4"/>
      <c r="O442" s="4"/>
      <c r="P442" s="4"/>
      <c r="Q442" s="4"/>
      <c r="R442" s="4"/>
      <c r="Y442" s="3"/>
      <c r="Z442" s="3"/>
      <c r="AA442" s="3"/>
      <c r="AB442" s="3"/>
    </row>
    <row r="443">
      <c r="A443" s="4"/>
      <c r="B443" s="4"/>
      <c r="C443" s="4"/>
      <c r="D443" s="4"/>
      <c r="E443" s="4"/>
      <c r="F443" s="4"/>
      <c r="G443" s="4"/>
      <c r="H443" s="4"/>
      <c r="I443" s="4"/>
      <c r="J443" s="4"/>
      <c r="K443" s="4"/>
      <c r="L443" s="4"/>
      <c r="M443" s="4"/>
      <c r="N443" s="4"/>
      <c r="O443" s="4"/>
      <c r="P443" s="4"/>
      <c r="Q443" s="4"/>
      <c r="R443" s="4"/>
      <c r="Y443" s="3"/>
      <c r="Z443" s="3"/>
      <c r="AA443" s="3"/>
      <c r="AB443" s="3"/>
    </row>
    <row r="444">
      <c r="A444" s="4"/>
      <c r="B444" s="4"/>
      <c r="C444" s="4"/>
      <c r="D444" s="4"/>
      <c r="E444" s="4"/>
      <c r="F444" s="4"/>
      <c r="G444" s="4"/>
      <c r="H444" s="4"/>
      <c r="I444" s="4"/>
      <c r="J444" s="4"/>
      <c r="K444" s="4"/>
      <c r="L444" s="4"/>
      <c r="M444" s="4"/>
      <c r="N444" s="4"/>
      <c r="O444" s="4"/>
      <c r="P444" s="4"/>
      <c r="Q444" s="4"/>
      <c r="R444" s="4"/>
      <c r="Y444" s="3"/>
      <c r="Z444" s="3"/>
      <c r="AA444" s="3"/>
      <c r="AB444" s="3"/>
    </row>
    <row r="445">
      <c r="A445" s="4"/>
      <c r="B445" s="4"/>
      <c r="C445" s="4"/>
      <c r="D445" s="4"/>
      <c r="E445" s="4"/>
      <c r="F445" s="4"/>
      <c r="G445" s="4"/>
      <c r="H445" s="4"/>
      <c r="I445" s="4"/>
      <c r="J445" s="4"/>
      <c r="K445" s="4"/>
      <c r="L445" s="4"/>
      <c r="M445" s="4"/>
      <c r="N445" s="4"/>
      <c r="O445" s="4"/>
      <c r="P445" s="4"/>
      <c r="Q445" s="4"/>
      <c r="R445" s="4"/>
      <c r="Y445" s="3"/>
      <c r="Z445" s="3"/>
      <c r="AA445" s="3"/>
      <c r="AB445" s="3"/>
    </row>
    <row r="446">
      <c r="A446" s="4"/>
      <c r="B446" s="4"/>
      <c r="C446" s="4"/>
      <c r="D446" s="4"/>
      <c r="E446" s="4"/>
      <c r="F446" s="4"/>
      <c r="G446" s="4"/>
      <c r="H446" s="4"/>
      <c r="I446" s="4"/>
      <c r="J446" s="4"/>
      <c r="K446" s="4"/>
      <c r="L446" s="4"/>
      <c r="M446" s="4"/>
      <c r="N446" s="4"/>
      <c r="O446" s="4"/>
      <c r="P446" s="4"/>
      <c r="Q446" s="4"/>
      <c r="R446" s="4"/>
      <c r="Y446" s="3"/>
      <c r="Z446" s="3"/>
      <c r="AA446" s="3"/>
      <c r="AB446" s="3"/>
    </row>
    <row r="447">
      <c r="A447" s="4"/>
      <c r="B447" s="4"/>
      <c r="C447" s="4"/>
      <c r="D447" s="4"/>
      <c r="E447" s="4"/>
      <c r="F447" s="4"/>
      <c r="G447" s="4"/>
      <c r="H447" s="4"/>
      <c r="I447" s="4"/>
      <c r="J447" s="4"/>
      <c r="K447" s="4"/>
      <c r="L447" s="4"/>
      <c r="M447" s="4"/>
      <c r="N447" s="4"/>
      <c r="O447" s="4"/>
      <c r="P447" s="4"/>
      <c r="Q447" s="4"/>
      <c r="R447" s="4"/>
      <c r="Y447" s="3"/>
      <c r="Z447" s="3"/>
      <c r="AA447" s="3"/>
      <c r="AB447" s="3"/>
    </row>
    <row r="448">
      <c r="A448" s="4"/>
      <c r="B448" s="4"/>
      <c r="C448" s="4"/>
      <c r="D448" s="4"/>
      <c r="E448" s="4"/>
      <c r="F448" s="4"/>
      <c r="G448" s="4"/>
      <c r="H448" s="4"/>
      <c r="I448" s="4"/>
      <c r="J448" s="4"/>
      <c r="K448" s="4"/>
      <c r="L448" s="4"/>
      <c r="M448" s="4"/>
      <c r="N448" s="4"/>
      <c r="O448" s="4"/>
      <c r="P448" s="4"/>
      <c r="Q448" s="4"/>
      <c r="R448" s="4"/>
      <c r="Y448" s="3"/>
      <c r="Z448" s="3"/>
      <c r="AA448" s="3"/>
      <c r="AB448" s="3"/>
    </row>
    <row r="449">
      <c r="A449" s="4"/>
      <c r="B449" s="4"/>
      <c r="C449" s="4"/>
      <c r="D449" s="4"/>
      <c r="E449" s="4"/>
      <c r="F449" s="4"/>
      <c r="G449" s="4"/>
      <c r="H449" s="4"/>
      <c r="I449" s="4"/>
      <c r="J449" s="4"/>
      <c r="K449" s="4"/>
      <c r="L449" s="4"/>
      <c r="M449" s="4"/>
      <c r="N449" s="4"/>
      <c r="O449" s="4"/>
      <c r="P449" s="4"/>
      <c r="Q449" s="4"/>
      <c r="R449" s="4"/>
      <c r="Y449" s="3"/>
      <c r="Z449" s="3"/>
      <c r="AA449" s="3"/>
      <c r="AB449" s="3"/>
    </row>
    <row r="450">
      <c r="A450" s="4"/>
      <c r="B450" s="4"/>
      <c r="C450" s="4"/>
      <c r="D450" s="4"/>
      <c r="E450" s="4"/>
      <c r="F450" s="4"/>
      <c r="G450" s="4"/>
      <c r="H450" s="4"/>
      <c r="I450" s="4"/>
      <c r="J450" s="4"/>
      <c r="K450" s="4"/>
      <c r="L450" s="4"/>
      <c r="M450" s="4"/>
      <c r="N450" s="4"/>
      <c r="O450" s="4"/>
      <c r="P450" s="4"/>
      <c r="Q450" s="4"/>
      <c r="R450" s="4"/>
      <c r="Y450" s="3"/>
      <c r="Z450" s="3"/>
      <c r="AA450" s="3"/>
      <c r="AB450" s="3"/>
    </row>
    <row r="451">
      <c r="A451" s="4"/>
      <c r="B451" s="4"/>
      <c r="C451" s="4"/>
      <c r="D451" s="4"/>
      <c r="E451" s="4"/>
      <c r="F451" s="4"/>
      <c r="G451" s="4"/>
      <c r="H451" s="4"/>
      <c r="I451" s="4"/>
      <c r="J451" s="4"/>
      <c r="K451" s="4"/>
      <c r="L451" s="4"/>
      <c r="M451" s="4"/>
      <c r="N451" s="4"/>
      <c r="O451" s="4"/>
      <c r="P451" s="4"/>
      <c r="Q451" s="4"/>
      <c r="R451" s="4"/>
      <c r="Y451" s="3"/>
      <c r="Z451" s="3"/>
      <c r="AA451" s="3"/>
      <c r="AB451" s="3"/>
    </row>
    <row r="452">
      <c r="A452" s="4"/>
      <c r="B452" s="4"/>
      <c r="C452" s="4"/>
      <c r="D452" s="4"/>
      <c r="E452" s="4"/>
      <c r="F452" s="4"/>
      <c r="G452" s="4"/>
      <c r="H452" s="4"/>
      <c r="I452" s="4"/>
      <c r="J452" s="4"/>
      <c r="K452" s="4"/>
      <c r="L452" s="4"/>
      <c r="M452" s="4"/>
      <c r="N452" s="4"/>
      <c r="O452" s="4"/>
      <c r="P452" s="4"/>
      <c r="Q452" s="4"/>
      <c r="R452" s="4"/>
      <c r="Y452" s="3"/>
      <c r="Z452" s="3"/>
      <c r="AA452" s="3"/>
      <c r="AB452" s="3"/>
    </row>
    <row r="453">
      <c r="A453" s="4"/>
      <c r="B453" s="4"/>
      <c r="C453" s="4"/>
      <c r="D453" s="4"/>
      <c r="E453" s="4"/>
      <c r="F453" s="4"/>
      <c r="G453" s="4"/>
      <c r="H453" s="4"/>
      <c r="I453" s="4"/>
      <c r="J453" s="4"/>
      <c r="K453" s="4"/>
      <c r="L453" s="4"/>
      <c r="M453" s="4"/>
      <c r="N453" s="4"/>
      <c r="O453" s="4"/>
      <c r="P453" s="4"/>
      <c r="Q453" s="4"/>
      <c r="R453" s="4"/>
      <c r="Y453" s="3"/>
      <c r="Z453" s="3"/>
      <c r="AA453" s="3"/>
      <c r="AB453" s="3"/>
    </row>
    <row r="454">
      <c r="A454" s="4"/>
      <c r="B454" s="4"/>
      <c r="C454" s="4"/>
      <c r="D454" s="4"/>
      <c r="E454" s="4"/>
      <c r="F454" s="4"/>
      <c r="G454" s="4"/>
      <c r="H454" s="4"/>
      <c r="I454" s="4"/>
      <c r="J454" s="4"/>
      <c r="K454" s="4"/>
      <c r="L454" s="4"/>
      <c r="M454" s="4"/>
      <c r="N454" s="4"/>
      <c r="O454" s="4"/>
      <c r="P454" s="4"/>
      <c r="Q454" s="4"/>
      <c r="R454" s="4"/>
      <c r="Y454" s="3"/>
      <c r="Z454" s="3"/>
      <c r="AA454" s="3"/>
      <c r="AB454" s="3"/>
    </row>
    <row r="455">
      <c r="A455" s="4"/>
      <c r="B455" s="4"/>
      <c r="C455" s="4"/>
      <c r="D455" s="4"/>
      <c r="E455" s="4"/>
      <c r="F455" s="4"/>
      <c r="G455" s="4"/>
      <c r="H455" s="4"/>
      <c r="I455" s="4"/>
      <c r="J455" s="4"/>
      <c r="K455" s="4"/>
      <c r="L455" s="4"/>
      <c r="M455" s="4"/>
      <c r="N455" s="4"/>
      <c r="O455" s="4"/>
      <c r="P455" s="4"/>
      <c r="Q455" s="4"/>
      <c r="R455" s="4"/>
      <c r="Y455" s="3"/>
      <c r="Z455" s="3"/>
      <c r="AA455" s="3"/>
      <c r="AB455" s="3"/>
    </row>
    <row r="456">
      <c r="A456" s="4"/>
      <c r="B456" s="4"/>
      <c r="C456" s="4"/>
      <c r="D456" s="4"/>
      <c r="E456" s="4"/>
      <c r="F456" s="4"/>
      <c r="G456" s="4"/>
      <c r="H456" s="4"/>
      <c r="I456" s="4"/>
      <c r="J456" s="4"/>
      <c r="K456" s="4"/>
      <c r="L456" s="4"/>
      <c r="M456" s="4"/>
      <c r="N456" s="4"/>
      <c r="O456" s="4"/>
      <c r="P456" s="4"/>
      <c r="Q456" s="4"/>
      <c r="R456" s="4"/>
      <c r="Y456" s="3"/>
      <c r="Z456" s="3"/>
      <c r="AA456" s="3"/>
      <c r="AB456" s="3"/>
    </row>
    <row r="457">
      <c r="A457" s="4"/>
      <c r="B457" s="4"/>
      <c r="C457" s="4"/>
      <c r="D457" s="4"/>
      <c r="E457" s="4"/>
      <c r="F457" s="4"/>
      <c r="G457" s="4"/>
      <c r="H457" s="4"/>
      <c r="I457" s="4"/>
      <c r="J457" s="4"/>
      <c r="K457" s="4"/>
      <c r="L457" s="4"/>
      <c r="M457" s="4"/>
      <c r="N457" s="4"/>
      <c r="O457" s="4"/>
      <c r="P457" s="4"/>
      <c r="Q457" s="4"/>
      <c r="R457" s="4"/>
      <c r="Y457" s="3"/>
      <c r="Z457" s="3"/>
      <c r="AA457" s="3"/>
      <c r="AB457" s="3"/>
    </row>
    <row r="458">
      <c r="A458" s="4"/>
      <c r="B458" s="4"/>
      <c r="C458" s="4"/>
      <c r="D458" s="4"/>
      <c r="E458" s="4"/>
      <c r="F458" s="4"/>
      <c r="G458" s="4"/>
      <c r="H458" s="4"/>
      <c r="I458" s="4"/>
      <c r="J458" s="4"/>
      <c r="K458" s="4"/>
      <c r="L458" s="4"/>
      <c r="M458" s="4"/>
      <c r="N458" s="4"/>
      <c r="O458" s="4"/>
      <c r="P458" s="4"/>
      <c r="Q458" s="4"/>
      <c r="R458" s="4"/>
      <c r="Y458" s="3"/>
      <c r="Z458" s="3"/>
      <c r="AA458" s="3"/>
      <c r="AB458" s="3"/>
    </row>
    <row r="459">
      <c r="A459" s="4"/>
      <c r="B459" s="4"/>
      <c r="C459" s="4"/>
      <c r="D459" s="4"/>
      <c r="E459" s="4"/>
      <c r="F459" s="4"/>
      <c r="G459" s="4"/>
      <c r="H459" s="4"/>
      <c r="I459" s="4"/>
      <c r="J459" s="4"/>
      <c r="K459" s="4"/>
      <c r="L459" s="4"/>
      <c r="M459" s="4"/>
      <c r="N459" s="4"/>
      <c r="O459" s="4"/>
      <c r="P459" s="4"/>
      <c r="Q459" s="4"/>
      <c r="R459" s="4"/>
      <c r="Y459" s="3"/>
      <c r="Z459" s="3"/>
      <c r="AA459" s="3"/>
      <c r="AB459" s="3"/>
    </row>
    <row r="460">
      <c r="A460" s="4"/>
      <c r="B460" s="4"/>
      <c r="C460" s="4"/>
      <c r="D460" s="4"/>
      <c r="E460" s="4"/>
      <c r="F460" s="4"/>
      <c r="G460" s="4"/>
      <c r="H460" s="4"/>
      <c r="I460" s="4"/>
      <c r="J460" s="4"/>
      <c r="K460" s="4"/>
      <c r="L460" s="4"/>
      <c r="M460" s="4"/>
      <c r="N460" s="4"/>
      <c r="O460" s="4"/>
      <c r="P460" s="4"/>
      <c r="Q460" s="4"/>
      <c r="R460" s="4"/>
      <c r="Y460" s="3"/>
      <c r="Z460" s="3"/>
      <c r="AA460" s="3"/>
      <c r="AB460" s="3"/>
    </row>
    <row r="461">
      <c r="A461" s="4"/>
      <c r="B461" s="4"/>
      <c r="C461" s="4"/>
      <c r="D461" s="4"/>
      <c r="E461" s="4"/>
      <c r="F461" s="4"/>
      <c r="G461" s="4"/>
      <c r="H461" s="4"/>
      <c r="I461" s="4"/>
      <c r="J461" s="4"/>
      <c r="K461" s="4"/>
      <c r="L461" s="4"/>
      <c r="M461" s="4"/>
      <c r="N461" s="4"/>
      <c r="O461" s="4"/>
      <c r="P461" s="4"/>
      <c r="Q461" s="4"/>
      <c r="R461" s="4"/>
      <c r="Y461" s="3"/>
      <c r="Z461" s="3"/>
      <c r="AA461" s="3"/>
      <c r="AB461" s="3"/>
    </row>
    <row r="462">
      <c r="A462" s="4"/>
      <c r="B462" s="4"/>
      <c r="C462" s="4"/>
      <c r="D462" s="4"/>
      <c r="E462" s="4"/>
      <c r="F462" s="4"/>
      <c r="G462" s="4"/>
      <c r="H462" s="4"/>
      <c r="I462" s="4"/>
      <c r="J462" s="4"/>
      <c r="K462" s="4"/>
      <c r="L462" s="4"/>
      <c r="M462" s="4"/>
      <c r="N462" s="4"/>
      <c r="O462" s="4"/>
      <c r="P462" s="4"/>
      <c r="Q462" s="4"/>
      <c r="R462" s="4"/>
      <c r="Y462" s="3"/>
      <c r="Z462" s="3"/>
      <c r="AA462" s="3"/>
      <c r="AB462" s="3"/>
    </row>
    <row r="463">
      <c r="A463" s="4"/>
      <c r="B463" s="4"/>
      <c r="C463" s="4"/>
      <c r="D463" s="4"/>
      <c r="E463" s="4"/>
      <c r="F463" s="4"/>
      <c r="G463" s="4"/>
      <c r="H463" s="4"/>
      <c r="I463" s="4"/>
      <c r="J463" s="4"/>
      <c r="K463" s="4"/>
      <c r="L463" s="4"/>
      <c r="M463" s="4"/>
      <c r="N463" s="4"/>
      <c r="O463" s="4"/>
      <c r="P463" s="4"/>
      <c r="Q463" s="4"/>
      <c r="R463" s="4"/>
      <c r="Y463" s="3"/>
      <c r="Z463" s="3"/>
      <c r="AA463" s="3"/>
      <c r="AB463" s="3"/>
    </row>
    <row r="464">
      <c r="A464" s="4"/>
      <c r="B464" s="4"/>
      <c r="C464" s="4"/>
      <c r="D464" s="4"/>
      <c r="E464" s="4"/>
      <c r="F464" s="4"/>
      <c r="G464" s="4"/>
      <c r="H464" s="4"/>
      <c r="I464" s="4"/>
      <c r="J464" s="4"/>
      <c r="K464" s="4"/>
      <c r="L464" s="4"/>
      <c r="M464" s="4"/>
      <c r="N464" s="4"/>
      <c r="O464" s="4"/>
      <c r="P464" s="4"/>
      <c r="Q464" s="4"/>
      <c r="R464" s="4"/>
      <c r="Y464" s="3"/>
      <c r="Z464" s="3"/>
      <c r="AA464" s="3"/>
      <c r="AB464" s="3"/>
    </row>
    <row r="465">
      <c r="A465" s="4"/>
      <c r="B465" s="4"/>
      <c r="C465" s="4"/>
      <c r="D465" s="4"/>
      <c r="E465" s="4"/>
      <c r="F465" s="4"/>
      <c r="G465" s="4"/>
      <c r="H465" s="4"/>
      <c r="I465" s="4"/>
      <c r="J465" s="4"/>
      <c r="K465" s="4"/>
      <c r="L465" s="4"/>
      <c r="M465" s="4"/>
      <c r="N465" s="4"/>
      <c r="O465" s="4"/>
      <c r="P465" s="4"/>
      <c r="Q465" s="4"/>
      <c r="R465" s="4"/>
      <c r="Y465" s="3"/>
      <c r="Z465" s="3"/>
      <c r="AA465" s="3"/>
      <c r="AB465" s="3"/>
    </row>
    <row r="466">
      <c r="A466" s="4"/>
      <c r="B466" s="4"/>
      <c r="C466" s="4"/>
      <c r="D466" s="4"/>
      <c r="E466" s="4"/>
      <c r="F466" s="4"/>
      <c r="G466" s="4"/>
      <c r="H466" s="4"/>
      <c r="I466" s="4"/>
      <c r="J466" s="4"/>
      <c r="K466" s="4"/>
      <c r="L466" s="4"/>
      <c r="M466" s="4"/>
      <c r="N466" s="4"/>
      <c r="O466" s="4"/>
      <c r="P466" s="4"/>
      <c r="Q466" s="4"/>
      <c r="R466" s="4"/>
      <c r="Y466" s="3"/>
      <c r="Z466" s="3"/>
      <c r="AA466" s="3"/>
      <c r="AB466" s="3"/>
    </row>
    <row r="467">
      <c r="A467" s="4"/>
      <c r="B467" s="4"/>
      <c r="C467" s="4"/>
      <c r="D467" s="4"/>
      <c r="E467" s="4"/>
      <c r="F467" s="4"/>
      <c r="G467" s="4"/>
      <c r="H467" s="4"/>
      <c r="I467" s="4"/>
      <c r="J467" s="4"/>
      <c r="K467" s="4"/>
      <c r="L467" s="4"/>
      <c r="M467" s="4"/>
      <c r="N467" s="4"/>
      <c r="O467" s="4"/>
      <c r="P467" s="4"/>
      <c r="Q467" s="4"/>
      <c r="R467" s="4"/>
      <c r="Y467" s="3"/>
      <c r="Z467" s="3"/>
      <c r="AA467" s="3"/>
      <c r="AB467" s="3"/>
    </row>
    <row r="468">
      <c r="A468" s="4"/>
      <c r="B468" s="4"/>
      <c r="C468" s="4"/>
      <c r="D468" s="4"/>
      <c r="E468" s="4"/>
      <c r="F468" s="4"/>
      <c r="G468" s="4"/>
      <c r="H468" s="4"/>
      <c r="I468" s="4"/>
      <c r="J468" s="4"/>
      <c r="K468" s="4"/>
      <c r="L468" s="4"/>
      <c r="M468" s="4"/>
      <c r="N468" s="4"/>
      <c r="O468" s="4"/>
      <c r="P468" s="4"/>
      <c r="Q468" s="4"/>
      <c r="R468" s="4"/>
      <c r="Y468" s="3"/>
      <c r="Z468" s="3"/>
      <c r="AA468" s="3"/>
      <c r="AB468" s="3"/>
    </row>
    <row r="469">
      <c r="A469" s="4"/>
      <c r="B469" s="4"/>
      <c r="C469" s="4"/>
      <c r="D469" s="4"/>
      <c r="E469" s="4"/>
      <c r="F469" s="4"/>
      <c r="G469" s="4"/>
      <c r="H469" s="4"/>
      <c r="I469" s="4"/>
      <c r="J469" s="4"/>
      <c r="K469" s="4"/>
      <c r="L469" s="4"/>
      <c r="M469" s="4"/>
      <c r="N469" s="4"/>
      <c r="O469" s="4"/>
      <c r="P469" s="4"/>
      <c r="Q469" s="4"/>
      <c r="R469" s="4"/>
      <c r="Y469" s="3"/>
      <c r="Z469" s="3"/>
      <c r="AA469" s="3"/>
      <c r="AB469" s="3"/>
    </row>
    <row r="470">
      <c r="A470" s="4"/>
      <c r="B470" s="4"/>
      <c r="C470" s="4"/>
      <c r="D470" s="4"/>
      <c r="E470" s="4"/>
      <c r="F470" s="4"/>
      <c r="G470" s="4"/>
      <c r="H470" s="4"/>
      <c r="I470" s="4"/>
      <c r="J470" s="4"/>
      <c r="K470" s="4"/>
      <c r="L470" s="4"/>
      <c r="M470" s="4"/>
      <c r="N470" s="4"/>
      <c r="O470" s="4"/>
      <c r="P470" s="4"/>
      <c r="Q470" s="4"/>
      <c r="R470" s="4"/>
      <c r="Y470" s="3"/>
      <c r="Z470" s="3"/>
      <c r="AA470" s="3"/>
      <c r="AB470" s="3"/>
    </row>
    <row r="471">
      <c r="A471" s="4"/>
      <c r="B471" s="4"/>
      <c r="C471" s="4"/>
      <c r="D471" s="4"/>
      <c r="E471" s="4"/>
      <c r="F471" s="4"/>
      <c r="G471" s="4"/>
      <c r="H471" s="4"/>
      <c r="I471" s="4"/>
      <c r="J471" s="4"/>
      <c r="K471" s="4"/>
      <c r="L471" s="4"/>
      <c r="M471" s="4"/>
      <c r="N471" s="4"/>
      <c r="O471" s="4"/>
      <c r="P471" s="4"/>
      <c r="Q471" s="4"/>
      <c r="R471" s="4"/>
      <c r="Y471" s="3"/>
      <c r="Z471" s="3"/>
      <c r="AA471" s="3"/>
      <c r="AB471" s="3"/>
    </row>
    <row r="472">
      <c r="A472" s="4"/>
      <c r="B472" s="4"/>
      <c r="C472" s="4"/>
      <c r="D472" s="4"/>
      <c r="E472" s="4"/>
      <c r="F472" s="4"/>
      <c r="G472" s="4"/>
      <c r="H472" s="4"/>
      <c r="I472" s="4"/>
      <c r="J472" s="4"/>
      <c r="K472" s="4"/>
      <c r="L472" s="4"/>
      <c r="M472" s="4"/>
      <c r="N472" s="4"/>
      <c r="O472" s="4"/>
      <c r="P472" s="4"/>
      <c r="Q472" s="4"/>
      <c r="R472" s="4"/>
      <c r="Y472" s="3"/>
      <c r="Z472" s="3"/>
      <c r="AA472" s="3"/>
      <c r="AB472" s="3"/>
    </row>
    <row r="473">
      <c r="A473" s="4"/>
      <c r="B473" s="4"/>
      <c r="C473" s="4"/>
      <c r="D473" s="4"/>
      <c r="E473" s="4"/>
      <c r="F473" s="4"/>
      <c r="G473" s="4"/>
      <c r="H473" s="4"/>
      <c r="I473" s="4"/>
      <c r="J473" s="4"/>
      <c r="K473" s="4"/>
      <c r="L473" s="4"/>
      <c r="M473" s="4"/>
      <c r="N473" s="4"/>
      <c r="O473" s="4"/>
      <c r="P473" s="4"/>
      <c r="Q473" s="4"/>
      <c r="R473" s="4"/>
      <c r="Y473" s="3"/>
      <c r="Z473" s="3"/>
      <c r="AA473" s="3"/>
      <c r="AB473" s="3"/>
    </row>
    <row r="474">
      <c r="A474" s="4"/>
      <c r="B474" s="4"/>
      <c r="C474" s="4"/>
      <c r="D474" s="4"/>
      <c r="E474" s="4"/>
      <c r="F474" s="4"/>
      <c r="G474" s="4"/>
      <c r="H474" s="4"/>
      <c r="I474" s="4"/>
      <c r="J474" s="4"/>
      <c r="K474" s="4"/>
      <c r="L474" s="4"/>
      <c r="M474" s="4"/>
      <c r="N474" s="4"/>
      <c r="O474" s="4"/>
      <c r="P474" s="4"/>
      <c r="Q474" s="4"/>
      <c r="R474" s="4"/>
      <c r="Y474" s="3"/>
      <c r="Z474" s="3"/>
      <c r="AA474" s="3"/>
      <c r="AB474" s="3"/>
    </row>
    <row r="475">
      <c r="A475" s="4"/>
      <c r="B475" s="4"/>
      <c r="C475" s="4"/>
      <c r="D475" s="4"/>
      <c r="E475" s="4"/>
      <c r="F475" s="4"/>
      <c r="G475" s="4"/>
      <c r="H475" s="4"/>
      <c r="I475" s="4"/>
      <c r="J475" s="4"/>
      <c r="K475" s="4"/>
      <c r="L475" s="4"/>
      <c r="M475" s="4"/>
      <c r="N475" s="4"/>
      <c r="O475" s="4"/>
      <c r="P475" s="4"/>
      <c r="Q475" s="4"/>
      <c r="R475" s="4"/>
      <c r="Y475" s="3"/>
      <c r="Z475" s="3"/>
      <c r="AA475" s="3"/>
      <c r="AB475" s="3"/>
    </row>
    <row r="476">
      <c r="A476" s="4"/>
      <c r="B476" s="4"/>
      <c r="C476" s="4"/>
      <c r="D476" s="4"/>
      <c r="E476" s="4"/>
      <c r="F476" s="4"/>
      <c r="G476" s="4"/>
      <c r="H476" s="4"/>
      <c r="I476" s="4"/>
      <c r="J476" s="4"/>
      <c r="K476" s="4"/>
      <c r="L476" s="4"/>
      <c r="M476" s="4"/>
      <c r="N476" s="4"/>
      <c r="O476" s="4"/>
      <c r="P476" s="4"/>
      <c r="Q476" s="4"/>
      <c r="R476" s="4"/>
      <c r="Y476" s="3"/>
      <c r="Z476" s="3"/>
      <c r="AA476" s="3"/>
      <c r="AB476" s="3"/>
    </row>
    <row r="477">
      <c r="A477" s="4"/>
      <c r="B477" s="4"/>
      <c r="C477" s="4"/>
      <c r="D477" s="4"/>
      <c r="E477" s="4"/>
      <c r="F477" s="4"/>
      <c r="G477" s="4"/>
      <c r="H477" s="4"/>
      <c r="I477" s="4"/>
      <c r="J477" s="4"/>
      <c r="K477" s="4"/>
      <c r="L477" s="4"/>
      <c r="M477" s="4"/>
      <c r="N477" s="4"/>
      <c r="O477" s="4"/>
      <c r="P477" s="4"/>
      <c r="Q477" s="4"/>
      <c r="R477" s="4"/>
      <c r="Y477" s="3"/>
      <c r="Z477" s="3"/>
      <c r="AA477" s="3"/>
      <c r="AB477" s="3"/>
    </row>
    <row r="478">
      <c r="A478" s="4"/>
      <c r="B478" s="4"/>
      <c r="C478" s="4"/>
      <c r="D478" s="4"/>
      <c r="E478" s="4"/>
      <c r="F478" s="4"/>
      <c r="G478" s="4"/>
      <c r="H478" s="4"/>
      <c r="I478" s="4"/>
      <c r="J478" s="4"/>
      <c r="K478" s="4"/>
      <c r="L478" s="4"/>
      <c r="M478" s="4"/>
      <c r="N478" s="4"/>
      <c r="O478" s="4"/>
      <c r="P478" s="4"/>
      <c r="Q478" s="4"/>
      <c r="R478" s="4"/>
      <c r="Y478" s="3"/>
      <c r="Z478" s="3"/>
      <c r="AA478" s="3"/>
      <c r="AB478" s="3"/>
    </row>
    <row r="479">
      <c r="A479" s="4"/>
      <c r="B479" s="4"/>
      <c r="C479" s="4"/>
      <c r="D479" s="4"/>
      <c r="E479" s="4"/>
      <c r="F479" s="4"/>
      <c r="G479" s="4"/>
      <c r="H479" s="4"/>
      <c r="I479" s="4"/>
      <c r="J479" s="4"/>
      <c r="K479" s="4"/>
      <c r="L479" s="4"/>
      <c r="M479" s="4"/>
      <c r="N479" s="4"/>
      <c r="O479" s="4"/>
      <c r="P479" s="4"/>
      <c r="Q479" s="4"/>
      <c r="R479" s="4"/>
      <c r="Y479" s="3"/>
      <c r="Z479" s="3"/>
      <c r="AA479" s="3"/>
      <c r="AB479" s="3"/>
    </row>
    <row r="480">
      <c r="A480" s="4"/>
      <c r="B480" s="4"/>
      <c r="C480" s="4"/>
      <c r="D480" s="4"/>
      <c r="E480" s="4"/>
      <c r="F480" s="4"/>
      <c r="G480" s="4"/>
      <c r="H480" s="4"/>
      <c r="I480" s="4"/>
      <c r="J480" s="4"/>
      <c r="K480" s="4"/>
      <c r="L480" s="4"/>
      <c r="M480" s="4"/>
      <c r="N480" s="4"/>
      <c r="O480" s="4"/>
      <c r="P480" s="4"/>
      <c r="Q480" s="4"/>
      <c r="R480" s="4"/>
      <c r="Y480" s="3"/>
      <c r="Z480" s="3"/>
      <c r="AA480" s="3"/>
      <c r="AB480" s="3"/>
    </row>
    <row r="481">
      <c r="A481" s="4"/>
      <c r="B481" s="4"/>
      <c r="C481" s="4"/>
      <c r="D481" s="4"/>
      <c r="E481" s="4"/>
      <c r="F481" s="4"/>
      <c r="G481" s="4"/>
      <c r="H481" s="4"/>
      <c r="I481" s="4"/>
      <c r="J481" s="4"/>
      <c r="K481" s="4"/>
      <c r="L481" s="4"/>
      <c r="M481" s="4"/>
      <c r="N481" s="4"/>
      <c r="O481" s="4"/>
      <c r="P481" s="4"/>
      <c r="Q481" s="4"/>
      <c r="R481" s="4"/>
      <c r="Y481" s="3"/>
      <c r="Z481" s="3"/>
      <c r="AA481" s="3"/>
      <c r="AB481" s="3"/>
    </row>
    <row r="482">
      <c r="A482" s="4"/>
      <c r="B482" s="4"/>
      <c r="C482" s="4"/>
      <c r="D482" s="4"/>
      <c r="E482" s="4"/>
      <c r="F482" s="4"/>
      <c r="G482" s="4"/>
      <c r="H482" s="4"/>
      <c r="I482" s="4"/>
      <c r="J482" s="4"/>
      <c r="K482" s="4"/>
      <c r="L482" s="4"/>
      <c r="M482" s="4"/>
      <c r="N482" s="4"/>
      <c r="O482" s="4"/>
      <c r="P482" s="4"/>
      <c r="Q482" s="4"/>
      <c r="R482" s="4"/>
      <c r="Y482" s="3"/>
      <c r="Z482" s="3"/>
      <c r="AA482" s="3"/>
      <c r="AB482" s="3"/>
    </row>
    <row r="483">
      <c r="A483" s="4"/>
      <c r="B483" s="4"/>
      <c r="C483" s="4"/>
      <c r="D483" s="4"/>
      <c r="E483" s="4"/>
      <c r="F483" s="4"/>
      <c r="G483" s="4"/>
      <c r="H483" s="4"/>
      <c r="I483" s="4"/>
      <c r="J483" s="4"/>
      <c r="K483" s="4"/>
      <c r="L483" s="4"/>
      <c r="M483" s="4"/>
      <c r="N483" s="4"/>
      <c r="O483" s="4"/>
      <c r="P483" s="4"/>
      <c r="Q483" s="4"/>
      <c r="R483" s="4"/>
      <c r="Y483" s="3"/>
      <c r="Z483" s="3"/>
      <c r="AA483" s="3"/>
      <c r="AB483" s="3"/>
    </row>
    <row r="484">
      <c r="A484" s="4"/>
      <c r="B484" s="4"/>
      <c r="C484" s="4"/>
      <c r="D484" s="4"/>
      <c r="E484" s="4"/>
      <c r="F484" s="4"/>
      <c r="G484" s="4"/>
      <c r="H484" s="4"/>
      <c r="I484" s="4"/>
      <c r="J484" s="4"/>
      <c r="K484" s="4"/>
      <c r="L484" s="4"/>
      <c r="M484" s="4"/>
      <c r="N484" s="4"/>
      <c r="O484" s="4"/>
      <c r="P484" s="4"/>
      <c r="Q484" s="4"/>
      <c r="R484" s="4"/>
      <c r="Y484" s="3"/>
      <c r="Z484" s="3"/>
      <c r="AA484" s="3"/>
      <c r="AB484" s="3"/>
    </row>
    <row r="485">
      <c r="A485" s="4"/>
      <c r="B485" s="4"/>
      <c r="C485" s="4"/>
      <c r="D485" s="4"/>
      <c r="E485" s="4"/>
      <c r="F485" s="4"/>
      <c r="G485" s="4"/>
      <c r="H485" s="4"/>
      <c r="I485" s="4"/>
      <c r="J485" s="4"/>
      <c r="K485" s="4"/>
      <c r="L485" s="4"/>
      <c r="M485" s="4"/>
      <c r="N485" s="4"/>
      <c r="O485" s="4"/>
      <c r="P485" s="4"/>
      <c r="Q485" s="4"/>
      <c r="R485" s="4"/>
      <c r="Y485" s="3"/>
      <c r="Z485" s="3"/>
      <c r="AA485" s="3"/>
      <c r="AB485" s="3"/>
    </row>
    <row r="486">
      <c r="A486" s="4"/>
      <c r="B486" s="4"/>
      <c r="C486" s="4"/>
      <c r="D486" s="4"/>
      <c r="E486" s="4"/>
      <c r="F486" s="4"/>
      <c r="G486" s="4"/>
      <c r="H486" s="4"/>
      <c r="I486" s="4"/>
      <c r="J486" s="4"/>
      <c r="K486" s="4"/>
      <c r="L486" s="4"/>
      <c r="M486" s="4"/>
      <c r="N486" s="4"/>
      <c r="O486" s="4"/>
      <c r="P486" s="4"/>
      <c r="Q486" s="4"/>
      <c r="R486" s="4"/>
      <c r="Y486" s="3"/>
      <c r="Z486" s="3"/>
      <c r="AA486" s="3"/>
      <c r="AB486" s="3"/>
    </row>
    <row r="487">
      <c r="A487" s="4"/>
      <c r="B487" s="4"/>
      <c r="C487" s="4"/>
      <c r="D487" s="4"/>
      <c r="E487" s="4"/>
      <c r="F487" s="4"/>
      <c r="G487" s="4"/>
      <c r="H487" s="4"/>
      <c r="I487" s="4"/>
      <c r="J487" s="4"/>
      <c r="K487" s="4"/>
      <c r="L487" s="4"/>
      <c r="M487" s="4"/>
      <c r="N487" s="4"/>
      <c r="O487" s="4"/>
      <c r="P487" s="4"/>
      <c r="Q487" s="4"/>
      <c r="R487" s="4"/>
      <c r="Y487" s="3"/>
      <c r="Z487" s="3"/>
      <c r="AA487" s="3"/>
      <c r="AB487" s="3"/>
    </row>
    <row r="488">
      <c r="A488" s="4"/>
      <c r="B488" s="4"/>
      <c r="C488" s="4"/>
      <c r="D488" s="4"/>
      <c r="E488" s="4"/>
      <c r="F488" s="4"/>
      <c r="G488" s="4"/>
      <c r="H488" s="4"/>
      <c r="I488" s="4"/>
      <c r="J488" s="4"/>
      <c r="K488" s="4"/>
      <c r="L488" s="4"/>
      <c r="M488" s="4"/>
      <c r="N488" s="4"/>
      <c r="O488" s="4"/>
      <c r="P488" s="4"/>
      <c r="Q488" s="4"/>
      <c r="R488" s="4"/>
      <c r="Y488" s="3"/>
      <c r="Z488" s="3"/>
      <c r="AA488" s="3"/>
      <c r="AB488" s="3"/>
    </row>
    <row r="489">
      <c r="A489" s="4"/>
      <c r="B489" s="4"/>
      <c r="C489" s="4"/>
      <c r="D489" s="4"/>
      <c r="E489" s="4"/>
      <c r="F489" s="4"/>
      <c r="G489" s="4"/>
      <c r="H489" s="4"/>
      <c r="I489" s="4"/>
      <c r="J489" s="4"/>
      <c r="K489" s="4"/>
      <c r="L489" s="4"/>
      <c r="M489" s="4"/>
      <c r="N489" s="4"/>
      <c r="O489" s="4"/>
      <c r="P489" s="4"/>
      <c r="Q489" s="4"/>
      <c r="R489" s="4"/>
      <c r="Y489" s="3"/>
      <c r="Z489" s="3"/>
      <c r="AA489" s="3"/>
      <c r="AB489" s="3"/>
    </row>
    <row r="490">
      <c r="A490" s="4"/>
      <c r="B490" s="4"/>
      <c r="C490" s="4"/>
      <c r="D490" s="4"/>
      <c r="E490" s="4"/>
      <c r="F490" s="4"/>
      <c r="G490" s="4"/>
      <c r="H490" s="4"/>
      <c r="I490" s="4"/>
      <c r="J490" s="4"/>
      <c r="K490" s="4"/>
      <c r="L490" s="4"/>
      <c r="M490" s="4"/>
      <c r="N490" s="4"/>
      <c r="O490" s="4"/>
      <c r="P490" s="4"/>
      <c r="Q490" s="4"/>
      <c r="R490" s="4"/>
      <c r="Y490" s="3"/>
      <c r="Z490" s="3"/>
      <c r="AA490" s="3"/>
      <c r="AB490" s="3"/>
    </row>
    <row r="491">
      <c r="A491" s="4"/>
      <c r="B491" s="4"/>
      <c r="C491" s="4"/>
      <c r="D491" s="4"/>
      <c r="E491" s="4"/>
      <c r="F491" s="4"/>
      <c r="G491" s="4"/>
      <c r="H491" s="4"/>
      <c r="I491" s="4"/>
      <c r="J491" s="4"/>
      <c r="K491" s="4"/>
      <c r="L491" s="4"/>
      <c r="M491" s="4"/>
      <c r="N491" s="4"/>
      <c r="O491" s="4"/>
      <c r="P491" s="4"/>
      <c r="Q491" s="4"/>
      <c r="R491" s="4"/>
      <c r="Y491" s="3"/>
      <c r="Z491" s="3"/>
      <c r="AA491" s="3"/>
      <c r="AB491" s="3"/>
    </row>
    <row r="492">
      <c r="A492" s="4"/>
      <c r="B492" s="4"/>
      <c r="C492" s="4"/>
      <c r="D492" s="4"/>
      <c r="E492" s="4"/>
      <c r="F492" s="4"/>
      <c r="G492" s="4"/>
      <c r="H492" s="4"/>
      <c r="I492" s="4"/>
      <c r="J492" s="4"/>
      <c r="K492" s="4"/>
      <c r="L492" s="4"/>
      <c r="M492" s="4"/>
      <c r="N492" s="4"/>
      <c r="O492" s="4"/>
      <c r="P492" s="4"/>
      <c r="Q492" s="4"/>
      <c r="R492" s="4"/>
      <c r="Y492" s="3"/>
      <c r="Z492" s="3"/>
      <c r="AA492" s="3"/>
      <c r="AB492" s="3"/>
    </row>
    <row r="493">
      <c r="A493" s="4"/>
      <c r="B493" s="4"/>
      <c r="C493" s="4"/>
      <c r="D493" s="4"/>
      <c r="E493" s="4"/>
      <c r="F493" s="4"/>
      <c r="G493" s="4"/>
      <c r="H493" s="4"/>
      <c r="I493" s="4"/>
      <c r="J493" s="4"/>
      <c r="K493" s="4"/>
      <c r="L493" s="4"/>
      <c r="M493" s="4"/>
      <c r="N493" s="4"/>
      <c r="O493" s="4"/>
      <c r="P493" s="4"/>
      <c r="Q493" s="4"/>
      <c r="R493" s="4"/>
      <c r="Y493" s="3"/>
      <c r="Z493" s="3"/>
      <c r="AA493" s="3"/>
      <c r="AB493" s="3"/>
    </row>
    <row r="494">
      <c r="A494" s="4"/>
      <c r="B494" s="4"/>
      <c r="C494" s="4"/>
      <c r="D494" s="4"/>
      <c r="E494" s="4"/>
      <c r="F494" s="4"/>
      <c r="G494" s="4"/>
      <c r="H494" s="4"/>
      <c r="I494" s="4"/>
      <c r="J494" s="4"/>
      <c r="K494" s="4"/>
      <c r="L494" s="4"/>
      <c r="M494" s="4"/>
      <c r="N494" s="4"/>
      <c r="O494" s="4"/>
      <c r="P494" s="4"/>
      <c r="Q494" s="4"/>
      <c r="R494" s="4"/>
      <c r="Y494" s="3"/>
      <c r="Z494" s="3"/>
      <c r="AA494" s="3"/>
      <c r="AB494" s="3"/>
    </row>
    <row r="495">
      <c r="A495" s="4"/>
      <c r="B495" s="4"/>
      <c r="C495" s="4"/>
      <c r="D495" s="4"/>
      <c r="E495" s="4"/>
      <c r="F495" s="4"/>
      <c r="G495" s="4"/>
      <c r="H495" s="4"/>
      <c r="I495" s="4"/>
      <c r="J495" s="4"/>
      <c r="K495" s="4"/>
      <c r="L495" s="4"/>
      <c r="M495" s="4"/>
      <c r="N495" s="4"/>
      <c r="O495" s="4"/>
      <c r="P495" s="4"/>
      <c r="Q495" s="4"/>
      <c r="R495" s="4"/>
      <c r="Y495" s="3"/>
      <c r="Z495" s="3"/>
      <c r="AA495" s="3"/>
      <c r="AB495" s="3"/>
    </row>
    <row r="496">
      <c r="A496" s="4"/>
      <c r="B496" s="4"/>
      <c r="C496" s="4"/>
      <c r="D496" s="4"/>
      <c r="E496" s="4"/>
      <c r="F496" s="4"/>
      <c r="G496" s="4"/>
      <c r="H496" s="4"/>
      <c r="I496" s="4"/>
      <c r="J496" s="4"/>
      <c r="K496" s="4"/>
      <c r="L496" s="4"/>
      <c r="M496" s="4"/>
      <c r="N496" s="4"/>
      <c r="O496" s="4"/>
      <c r="P496" s="4"/>
      <c r="Q496" s="4"/>
      <c r="R496" s="4"/>
      <c r="Y496" s="3"/>
      <c r="Z496" s="3"/>
      <c r="AA496" s="3"/>
      <c r="AB496" s="3"/>
    </row>
    <row r="497">
      <c r="A497" s="4"/>
      <c r="B497" s="4"/>
      <c r="C497" s="4"/>
      <c r="D497" s="4"/>
      <c r="E497" s="4"/>
      <c r="F497" s="4"/>
      <c r="G497" s="4"/>
      <c r="H497" s="4"/>
      <c r="I497" s="4"/>
      <c r="J497" s="4"/>
      <c r="K497" s="4"/>
      <c r="L497" s="4"/>
      <c r="M497" s="4"/>
      <c r="N497" s="4"/>
      <c r="O497" s="4"/>
      <c r="P497" s="4"/>
      <c r="Q497" s="4"/>
      <c r="R497" s="4"/>
      <c r="Y497" s="3"/>
      <c r="Z497" s="3"/>
      <c r="AA497" s="3"/>
      <c r="AB497" s="3"/>
    </row>
    <row r="498">
      <c r="A498" s="4"/>
      <c r="B498" s="4"/>
      <c r="C498" s="4"/>
      <c r="D498" s="4"/>
      <c r="E498" s="4"/>
      <c r="F498" s="4"/>
      <c r="G498" s="4"/>
      <c r="H498" s="4"/>
      <c r="I498" s="4"/>
      <c r="J498" s="4"/>
      <c r="K498" s="4"/>
      <c r="L498" s="4"/>
      <c r="M498" s="4"/>
      <c r="N498" s="4"/>
      <c r="O498" s="4"/>
      <c r="P498" s="4"/>
      <c r="Q498" s="4"/>
      <c r="R498" s="4"/>
      <c r="Y498" s="3"/>
      <c r="Z498" s="3"/>
      <c r="AA498" s="3"/>
      <c r="AB498" s="3"/>
    </row>
    <row r="499">
      <c r="A499" s="4"/>
      <c r="B499" s="4"/>
      <c r="C499" s="4"/>
      <c r="D499" s="4"/>
      <c r="E499" s="4"/>
      <c r="F499" s="4"/>
      <c r="G499" s="4"/>
      <c r="H499" s="4"/>
      <c r="I499" s="4"/>
      <c r="J499" s="4"/>
      <c r="K499" s="4"/>
      <c r="L499" s="4"/>
      <c r="M499" s="4"/>
      <c r="N499" s="4"/>
      <c r="O499" s="4"/>
      <c r="P499" s="4"/>
      <c r="Q499" s="4"/>
      <c r="R499" s="4"/>
      <c r="Y499" s="3"/>
      <c r="Z499" s="3"/>
      <c r="AA499" s="3"/>
      <c r="AB499" s="3"/>
    </row>
    <row r="500">
      <c r="A500" s="4"/>
      <c r="B500" s="4"/>
      <c r="C500" s="4"/>
      <c r="D500" s="4"/>
      <c r="E500" s="4"/>
      <c r="F500" s="4"/>
      <c r="G500" s="4"/>
      <c r="H500" s="4"/>
      <c r="I500" s="4"/>
      <c r="J500" s="4"/>
      <c r="K500" s="4"/>
      <c r="L500" s="4"/>
      <c r="M500" s="4"/>
      <c r="N500" s="4"/>
      <c r="O500" s="4"/>
      <c r="P500" s="4"/>
      <c r="Q500" s="4"/>
      <c r="R500" s="4"/>
      <c r="Y500" s="3"/>
      <c r="Z500" s="3"/>
      <c r="AA500" s="3"/>
      <c r="AB500" s="3"/>
    </row>
    <row r="501">
      <c r="A501" s="4"/>
      <c r="B501" s="4"/>
      <c r="C501" s="4"/>
      <c r="D501" s="4"/>
      <c r="E501" s="4"/>
      <c r="F501" s="4"/>
      <c r="G501" s="4"/>
      <c r="H501" s="4"/>
      <c r="I501" s="4"/>
      <c r="J501" s="4"/>
      <c r="K501" s="4"/>
      <c r="L501" s="4"/>
      <c r="M501" s="4"/>
      <c r="N501" s="4"/>
      <c r="O501" s="4"/>
      <c r="P501" s="4"/>
      <c r="Q501" s="4"/>
      <c r="R501" s="4"/>
      <c r="Y501" s="3"/>
      <c r="Z501" s="3"/>
      <c r="AA501" s="3"/>
      <c r="AB501" s="3"/>
    </row>
    <row r="502">
      <c r="A502" s="4"/>
      <c r="B502" s="4"/>
      <c r="C502" s="4"/>
      <c r="D502" s="4"/>
      <c r="E502" s="4"/>
      <c r="F502" s="4"/>
      <c r="G502" s="4"/>
      <c r="H502" s="4"/>
      <c r="I502" s="4"/>
      <c r="J502" s="4"/>
      <c r="K502" s="4"/>
      <c r="L502" s="4"/>
      <c r="M502" s="4"/>
      <c r="N502" s="4"/>
      <c r="O502" s="4"/>
      <c r="P502" s="4"/>
      <c r="Q502" s="4"/>
      <c r="R502" s="4"/>
      <c r="Y502" s="3"/>
      <c r="Z502" s="3"/>
      <c r="AA502" s="3"/>
      <c r="AB502" s="3"/>
    </row>
    <row r="503">
      <c r="A503" s="4"/>
      <c r="B503" s="4"/>
      <c r="C503" s="4"/>
      <c r="D503" s="4"/>
      <c r="E503" s="4"/>
      <c r="F503" s="4"/>
      <c r="G503" s="4"/>
      <c r="H503" s="4"/>
      <c r="I503" s="4"/>
      <c r="J503" s="4"/>
      <c r="K503" s="4"/>
      <c r="L503" s="4"/>
      <c r="M503" s="4"/>
      <c r="N503" s="4"/>
      <c r="O503" s="4"/>
      <c r="P503" s="4"/>
      <c r="Q503" s="4"/>
      <c r="R503" s="4"/>
      <c r="Y503" s="3"/>
      <c r="Z503" s="3"/>
      <c r="AA503" s="3"/>
      <c r="AB503" s="3"/>
    </row>
    <row r="504">
      <c r="A504" s="4"/>
      <c r="B504" s="4"/>
      <c r="C504" s="4"/>
      <c r="D504" s="4"/>
      <c r="E504" s="4"/>
      <c r="F504" s="4"/>
      <c r="G504" s="4"/>
      <c r="H504" s="4"/>
      <c r="I504" s="4"/>
      <c r="J504" s="4"/>
      <c r="K504" s="4"/>
      <c r="L504" s="4"/>
      <c r="M504" s="4"/>
      <c r="N504" s="4"/>
      <c r="O504" s="4"/>
      <c r="P504" s="4"/>
      <c r="Q504" s="4"/>
      <c r="R504" s="4"/>
      <c r="Y504" s="3"/>
      <c r="Z504" s="3"/>
      <c r="AA504" s="3"/>
      <c r="AB504" s="3"/>
    </row>
    <row r="505">
      <c r="A505" s="4"/>
      <c r="B505" s="4"/>
      <c r="C505" s="4"/>
      <c r="D505" s="4"/>
      <c r="E505" s="4"/>
      <c r="F505" s="4"/>
      <c r="G505" s="4"/>
      <c r="H505" s="4"/>
      <c r="I505" s="4"/>
      <c r="J505" s="4"/>
      <c r="K505" s="4"/>
      <c r="L505" s="4"/>
      <c r="M505" s="4"/>
      <c r="N505" s="4"/>
      <c r="O505" s="4"/>
      <c r="P505" s="4"/>
      <c r="Q505" s="4"/>
      <c r="R505" s="4"/>
      <c r="Y505" s="3"/>
      <c r="Z505" s="3"/>
      <c r="AA505" s="3"/>
      <c r="AB505" s="3"/>
    </row>
    <row r="506">
      <c r="A506" s="4"/>
      <c r="B506" s="4"/>
      <c r="C506" s="4"/>
      <c r="D506" s="4"/>
      <c r="E506" s="4"/>
      <c r="F506" s="4"/>
      <c r="G506" s="4"/>
      <c r="H506" s="4"/>
      <c r="I506" s="4"/>
      <c r="J506" s="4"/>
      <c r="K506" s="4"/>
      <c r="L506" s="4"/>
      <c r="M506" s="4"/>
      <c r="N506" s="4"/>
      <c r="O506" s="4"/>
      <c r="P506" s="4"/>
      <c r="Q506" s="4"/>
      <c r="R506" s="4"/>
      <c r="Y506" s="3"/>
      <c r="Z506" s="3"/>
      <c r="AA506" s="3"/>
      <c r="AB506" s="3"/>
    </row>
    <row r="507">
      <c r="A507" s="4"/>
      <c r="B507" s="4"/>
      <c r="C507" s="4"/>
      <c r="D507" s="4"/>
      <c r="E507" s="4"/>
      <c r="F507" s="4"/>
      <c r="G507" s="4"/>
      <c r="H507" s="4"/>
      <c r="I507" s="4"/>
      <c r="J507" s="4"/>
      <c r="K507" s="4"/>
      <c r="L507" s="4"/>
      <c r="M507" s="4"/>
      <c r="N507" s="4"/>
      <c r="O507" s="4"/>
      <c r="P507" s="4"/>
      <c r="Q507" s="4"/>
      <c r="R507" s="4"/>
      <c r="Y507" s="3"/>
      <c r="Z507" s="3"/>
      <c r="AA507" s="3"/>
      <c r="AB507" s="3"/>
    </row>
    <row r="508">
      <c r="A508" s="4"/>
      <c r="B508" s="4"/>
      <c r="C508" s="4"/>
      <c r="D508" s="4"/>
      <c r="E508" s="4"/>
      <c r="F508" s="4"/>
      <c r="G508" s="4"/>
      <c r="H508" s="4"/>
      <c r="I508" s="4"/>
      <c r="J508" s="4"/>
      <c r="K508" s="4"/>
      <c r="L508" s="4"/>
      <c r="M508" s="4"/>
      <c r="N508" s="4"/>
      <c r="O508" s="4"/>
      <c r="P508" s="4"/>
      <c r="Q508" s="4"/>
      <c r="R508" s="4"/>
      <c r="Y508" s="3"/>
      <c r="Z508" s="3"/>
      <c r="AA508" s="3"/>
      <c r="AB508" s="3"/>
    </row>
    <row r="509">
      <c r="A509" s="4"/>
      <c r="B509" s="4"/>
      <c r="C509" s="4"/>
      <c r="D509" s="4"/>
      <c r="E509" s="4"/>
      <c r="F509" s="4"/>
      <c r="G509" s="4"/>
      <c r="H509" s="4"/>
      <c r="I509" s="4"/>
      <c r="J509" s="4"/>
      <c r="K509" s="4"/>
      <c r="L509" s="4"/>
      <c r="M509" s="4"/>
      <c r="N509" s="4"/>
      <c r="O509" s="4"/>
      <c r="P509" s="4"/>
      <c r="Q509" s="4"/>
      <c r="R509" s="4"/>
      <c r="Y509" s="3"/>
      <c r="Z509" s="3"/>
      <c r="AA509" s="3"/>
      <c r="AB509" s="3"/>
    </row>
    <row r="510">
      <c r="A510" s="4"/>
      <c r="B510" s="4"/>
      <c r="C510" s="4"/>
      <c r="D510" s="4"/>
      <c r="E510" s="4"/>
      <c r="F510" s="4"/>
      <c r="G510" s="4"/>
      <c r="H510" s="4"/>
      <c r="I510" s="4"/>
      <c r="J510" s="4"/>
      <c r="K510" s="4"/>
      <c r="L510" s="4"/>
      <c r="M510" s="4"/>
      <c r="N510" s="4"/>
      <c r="O510" s="4"/>
      <c r="P510" s="4"/>
      <c r="Q510" s="4"/>
      <c r="R510" s="4"/>
      <c r="Y510" s="3"/>
      <c r="Z510" s="3"/>
      <c r="AA510" s="3"/>
      <c r="AB510" s="3"/>
    </row>
    <row r="511">
      <c r="A511" s="4"/>
      <c r="B511" s="4"/>
      <c r="C511" s="4"/>
      <c r="D511" s="4"/>
      <c r="E511" s="4"/>
      <c r="F511" s="4"/>
      <c r="G511" s="4"/>
      <c r="H511" s="4"/>
      <c r="I511" s="4"/>
      <c r="J511" s="4"/>
      <c r="K511" s="4"/>
      <c r="L511" s="4"/>
      <c r="M511" s="4"/>
      <c r="N511" s="4"/>
      <c r="O511" s="4"/>
      <c r="P511" s="4"/>
      <c r="Q511" s="4"/>
      <c r="R511" s="4"/>
      <c r="Y511" s="3"/>
      <c r="Z511" s="3"/>
      <c r="AA511" s="3"/>
      <c r="AB511" s="3"/>
    </row>
    <row r="512">
      <c r="A512" s="4"/>
      <c r="B512" s="4"/>
      <c r="C512" s="4"/>
      <c r="D512" s="4"/>
      <c r="E512" s="4"/>
      <c r="F512" s="4"/>
      <c r="G512" s="4"/>
      <c r="H512" s="4"/>
      <c r="I512" s="4"/>
      <c r="J512" s="4"/>
      <c r="K512" s="4"/>
      <c r="L512" s="4"/>
      <c r="M512" s="4"/>
      <c r="N512" s="4"/>
      <c r="O512" s="4"/>
      <c r="P512" s="4"/>
      <c r="Q512" s="4"/>
      <c r="R512" s="4"/>
      <c r="Y512" s="3"/>
      <c r="Z512" s="3"/>
      <c r="AA512" s="3"/>
      <c r="AB512" s="3"/>
    </row>
    <row r="513">
      <c r="A513" s="4"/>
      <c r="B513" s="4"/>
      <c r="C513" s="4"/>
      <c r="D513" s="4"/>
      <c r="E513" s="4"/>
      <c r="F513" s="4"/>
      <c r="G513" s="4"/>
      <c r="H513" s="4"/>
      <c r="I513" s="4"/>
      <c r="J513" s="4"/>
      <c r="K513" s="4"/>
      <c r="L513" s="4"/>
      <c r="M513" s="4"/>
      <c r="N513" s="4"/>
      <c r="O513" s="4"/>
      <c r="P513" s="4"/>
      <c r="Q513" s="4"/>
      <c r="R513" s="4"/>
      <c r="Y513" s="3"/>
      <c r="Z513" s="3"/>
      <c r="AA513" s="3"/>
      <c r="AB513" s="3"/>
    </row>
    <row r="514">
      <c r="A514" s="4"/>
      <c r="B514" s="4"/>
      <c r="C514" s="4"/>
      <c r="D514" s="4"/>
      <c r="E514" s="4"/>
      <c r="F514" s="4"/>
      <c r="G514" s="4"/>
      <c r="H514" s="4"/>
      <c r="I514" s="4"/>
      <c r="J514" s="4"/>
      <c r="K514" s="4"/>
      <c r="L514" s="4"/>
      <c r="M514" s="4"/>
      <c r="N514" s="4"/>
      <c r="O514" s="4"/>
      <c r="P514" s="4"/>
      <c r="Q514" s="4"/>
      <c r="R514" s="4"/>
      <c r="Y514" s="3"/>
      <c r="Z514" s="3"/>
      <c r="AA514" s="3"/>
      <c r="AB514" s="3"/>
    </row>
    <row r="515">
      <c r="A515" s="4"/>
      <c r="B515" s="4"/>
      <c r="C515" s="4"/>
      <c r="D515" s="4"/>
      <c r="E515" s="4"/>
      <c r="F515" s="4"/>
      <c r="G515" s="4"/>
      <c r="H515" s="4"/>
      <c r="I515" s="4"/>
      <c r="J515" s="4"/>
      <c r="K515" s="4"/>
      <c r="L515" s="4"/>
      <c r="M515" s="4"/>
      <c r="N515" s="4"/>
      <c r="O515" s="4"/>
      <c r="P515" s="4"/>
      <c r="Q515" s="4"/>
      <c r="R515" s="4"/>
      <c r="Y515" s="3"/>
      <c r="Z515" s="3"/>
      <c r="AA515" s="3"/>
      <c r="AB515" s="3"/>
    </row>
    <row r="516">
      <c r="A516" s="4"/>
      <c r="B516" s="4"/>
      <c r="C516" s="4"/>
      <c r="D516" s="4"/>
      <c r="E516" s="4"/>
      <c r="F516" s="4"/>
      <c r="G516" s="4"/>
      <c r="H516" s="4"/>
      <c r="I516" s="4"/>
      <c r="J516" s="4"/>
      <c r="K516" s="4"/>
      <c r="L516" s="4"/>
      <c r="M516" s="4"/>
      <c r="N516" s="4"/>
      <c r="O516" s="4"/>
      <c r="P516" s="4"/>
      <c r="Q516" s="4"/>
      <c r="R516" s="4"/>
      <c r="Y516" s="3"/>
      <c r="Z516" s="3"/>
      <c r="AA516" s="3"/>
      <c r="AB516" s="3"/>
    </row>
    <row r="517">
      <c r="A517" s="4"/>
      <c r="B517" s="4"/>
      <c r="C517" s="4"/>
      <c r="D517" s="4"/>
      <c r="E517" s="4"/>
      <c r="F517" s="4"/>
      <c r="G517" s="4"/>
      <c r="H517" s="4"/>
      <c r="I517" s="4"/>
      <c r="J517" s="4"/>
      <c r="K517" s="4"/>
      <c r="L517" s="4"/>
      <c r="M517" s="4"/>
      <c r="N517" s="4"/>
      <c r="O517" s="4"/>
      <c r="P517" s="4"/>
      <c r="Q517" s="4"/>
      <c r="R517" s="4"/>
      <c r="Y517" s="3"/>
      <c r="Z517" s="3"/>
      <c r="AA517" s="3"/>
      <c r="AB517" s="3"/>
    </row>
    <row r="518">
      <c r="A518" s="4"/>
      <c r="B518" s="4"/>
      <c r="C518" s="4"/>
      <c r="D518" s="4"/>
      <c r="E518" s="4"/>
      <c r="F518" s="4"/>
      <c r="G518" s="4"/>
      <c r="H518" s="4"/>
      <c r="I518" s="4"/>
      <c r="J518" s="4"/>
      <c r="K518" s="4"/>
      <c r="L518" s="4"/>
      <c r="M518" s="4"/>
      <c r="N518" s="4"/>
      <c r="O518" s="4"/>
      <c r="P518" s="4"/>
      <c r="Q518" s="4"/>
      <c r="R518" s="4"/>
      <c r="Y518" s="3"/>
      <c r="Z518" s="3"/>
      <c r="AA518" s="3"/>
      <c r="AB518" s="3"/>
    </row>
    <row r="519">
      <c r="A519" s="4"/>
      <c r="B519" s="4"/>
      <c r="C519" s="4"/>
      <c r="D519" s="4"/>
      <c r="E519" s="4"/>
      <c r="F519" s="4"/>
      <c r="G519" s="4"/>
      <c r="H519" s="4"/>
      <c r="I519" s="4"/>
      <c r="J519" s="4"/>
      <c r="K519" s="4"/>
      <c r="L519" s="4"/>
      <c r="M519" s="4"/>
      <c r="N519" s="4"/>
      <c r="O519" s="4"/>
      <c r="P519" s="4"/>
      <c r="Q519" s="4"/>
      <c r="R519" s="4"/>
      <c r="Y519" s="3"/>
      <c r="Z519" s="3"/>
      <c r="AA519" s="3"/>
      <c r="AB519" s="3"/>
    </row>
    <row r="520">
      <c r="A520" s="4"/>
      <c r="B520" s="4"/>
      <c r="C520" s="4"/>
      <c r="D520" s="4"/>
      <c r="E520" s="4"/>
      <c r="F520" s="4"/>
      <c r="G520" s="4"/>
      <c r="H520" s="4"/>
      <c r="I520" s="4"/>
      <c r="J520" s="4"/>
      <c r="K520" s="4"/>
      <c r="L520" s="4"/>
      <c r="M520" s="4"/>
      <c r="N520" s="4"/>
      <c r="O520" s="4"/>
      <c r="P520" s="4"/>
      <c r="Q520" s="4"/>
      <c r="R520" s="4"/>
      <c r="Y520" s="3"/>
      <c r="Z520" s="3"/>
      <c r="AA520" s="3"/>
      <c r="AB520" s="3"/>
    </row>
    <row r="521">
      <c r="A521" s="4"/>
      <c r="B521" s="4"/>
      <c r="C521" s="4"/>
      <c r="D521" s="4"/>
      <c r="E521" s="4"/>
      <c r="F521" s="4"/>
      <c r="G521" s="4"/>
      <c r="H521" s="4"/>
      <c r="I521" s="4"/>
      <c r="J521" s="4"/>
      <c r="K521" s="4"/>
      <c r="L521" s="4"/>
      <c r="M521" s="4"/>
      <c r="N521" s="4"/>
      <c r="O521" s="4"/>
      <c r="P521" s="4"/>
      <c r="Q521" s="4"/>
      <c r="R521" s="4"/>
      <c r="Y521" s="3"/>
      <c r="Z521" s="3"/>
      <c r="AA521" s="3"/>
      <c r="AB521" s="3"/>
    </row>
    <row r="522">
      <c r="A522" s="4"/>
      <c r="B522" s="4"/>
      <c r="C522" s="4"/>
      <c r="D522" s="4"/>
      <c r="E522" s="4"/>
      <c r="F522" s="4"/>
      <c r="G522" s="4"/>
      <c r="H522" s="4"/>
      <c r="I522" s="4"/>
      <c r="J522" s="4"/>
      <c r="K522" s="4"/>
      <c r="L522" s="4"/>
      <c r="M522" s="4"/>
      <c r="N522" s="4"/>
      <c r="O522" s="4"/>
      <c r="P522" s="4"/>
      <c r="Q522" s="4"/>
      <c r="R522" s="4"/>
      <c r="Y522" s="3"/>
      <c r="Z522" s="3"/>
      <c r="AA522" s="3"/>
      <c r="AB522" s="3"/>
    </row>
    <row r="523">
      <c r="A523" s="4"/>
      <c r="B523" s="4"/>
      <c r="C523" s="4"/>
      <c r="D523" s="4"/>
      <c r="E523" s="4"/>
      <c r="F523" s="4"/>
      <c r="G523" s="4"/>
      <c r="H523" s="4"/>
      <c r="I523" s="4"/>
      <c r="J523" s="4"/>
      <c r="K523" s="4"/>
      <c r="L523" s="4"/>
      <c r="M523" s="4"/>
      <c r="N523" s="4"/>
      <c r="O523" s="4"/>
      <c r="P523" s="4"/>
      <c r="Q523" s="4"/>
      <c r="R523" s="4"/>
      <c r="Y523" s="3"/>
      <c r="Z523" s="3"/>
      <c r="AA523" s="3"/>
      <c r="AB523" s="3"/>
    </row>
    <row r="524">
      <c r="A524" s="4"/>
      <c r="B524" s="4"/>
      <c r="C524" s="4"/>
      <c r="D524" s="4"/>
      <c r="E524" s="4"/>
      <c r="F524" s="4"/>
      <c r="G524" s="4"/>
      <c r="H524" s="4"/>
      <c r="I524" s="4"/>
      <c r="J524" s="4"/>
      <c r="K524" s="4"/>
      <c r="L524" s="4"/>
      <c r="M524" s="4"/>
      <c r="N524" s="4"/>
      <c r="O524" s="4"/>
      <c r="P524" s="4"/>
      <c r="Q524" s="4"/>
      <c r="R524" s="4"/>
      <c r="Y524" s="3"/>
      <c r="Z524" s="3"/>
      <c r="AA524" s="3"/>
      <c r="AB524" s="3"/>
    </row>
    <row r="525">
      <c r="A525" s="4"/>
      <c r="B525" s="4"/>
      <c r="C525" s="4"/>
      <c r="D525" s="4"/>
      <c r="E525" s="4"/>
      <c r="F525" s="4"/>
      <c r="G525" s="4"/>
      <c r="H525" s="4"/>
      <c r="I525" s="4"/>
      <c r="J525" s="4"/>
      <c r="K525" s="4"/>
      <c r="L525" s="4"/>
      <c r="M525" s="4"/>
      <c r="N525" s="4"/>
      <c r="O525" s="4"/>
      <c r="P525" s="4"/>
      <c r="Q525" s="4"/>
      <c r="R525" s="4"/>
      <c r="Y525" s="3"/>
      <c r="Z525" s="3"/>
      <c r="AA525" s="3"/>
      <c r="AB525" s="3"/>
    </row>
    <row r="526">
      <c r="A526" s="4"/>
      <c r="B526" s="4"/>
      <c r="C526" s="4"/>
      <c r="D526" s="4"/>
      <c r="E526" s="4"/>
      <c r="F526" s="4"/>
      <c r="G526" s="4"/>
      <c r="H526" s="4"/>
      <c r="I526" s="4"/>
      <c r="J526" s="4"/>
      <c r="K526" s="4"/>
      <c r="L526" s="4"/>
      <c r="M526" s="4"/>
      <c r="N526" s="4"/>
      <c r="O526" s="4"/>
      <c r="P526" s="4"/>
      <c r="Q526" s="4"/>
      <c r="R526" s="4"/>
      <c r="Y526" s="3"/>
      <c r="Z526" s="3"/>
      <c r="AA526" s="3"/>
      <c r="AB526" s="3"/>
    </row>
    <row r="527">
      <c r="A527" s="4"/>
      <c r="B527" s="4"/>
      <c r="C527" s="4"/>
      <c r="D527" s="4"/>
      <c r="E527" s="4"/>
      <c r="F527" s="4"/>
      <c r="G527" s="4"/>
      <c r="H527" s="4"/>
      <c r="I527" s="4"/>
      <c r="J527" s="4"/>
      <c r="K527" s="4"/>
      <c r="L527" s="4"/>
      <c r="M527" s="4"/>
      <c r="N527" s="4"/>
      <c r="O527" s="4"/>
      <c r="P527" s="4"/>
      <c r="Q527" s="4"/>
      <c r="R527" s="4"/>
      <c r="Y527" s="3"/>
      <c r="Z527" s="3"/>
      <c r="AA527" s="3"/>
      <c r="AB527" s="3"/>
    </row>
    <row r="528">
      <c r="A528" s="4"/>
      <c r="B528" s="4"/>
      <c r="C528" s="4"/>
      <c r="D528" s="4"/>
      <c r="E528" s="4"/>
      <c r="F528" s="4"/>
      <c r="G528" s="4"/>
      <c r="H528" s="4"/>
      <c r="I528" s="4"/>
      <c r="J528" s="4"/>
      <c r="K528" s="4"/>
      <c r="L528" s="4"/>
      <c r="M528" s="4"/>
      <c r="N528" s="4"/>
      <c r="O528" s="4"/>
      <c r="P528" s="4"/>
      <c r="Q528" s="4"/>
      <c r="R528" s="4"/>
      <c r="Y528" s="3"/>
      <c r="Z528" s="3"/>
      <c r="AA528" s="3"/>
      <c r="AB528" s="3"/>
    </row>
    <row r="529">
      <c r="A529" s="4"/>
      <c r="B529" s="4"/>
      <c r="C529" s="4"/>
      <c r="D529" s="4"/>
      <c r="E529" s="4"/>
      <c r="F529" s="4"/>
      <c r="G529" s="4"/>
      <c r="H529" s="4"/>
      <c r="I529" s="4"/>
      <c r="J529" s="4"/>
      <c r="K529" s="4"/>
      <c r="L529" s="4"/>
      <c r="M529" s="4"/>
      <c r="N529" s="4"/>
      <c r="O529" s="4"/>
      <c r="P529" s="4"/>
      <c r="Q529" s="4"/>
      <c r="R529" s="4"/>
      <c r="Y529" s="3"/>
      <c r="Z529" s="3"/>
      <c r="AA529" s="3"/>
      <c r="AB529" s="3"/>
    </row>
    <row r="530">
      <c r="A530" s="4"/>
      <c r="B530" s="4"/>
      <c r="C530" s="4"/>
      <c r="D530" s="4"/>
      <c r="E530" s="4"/>
      <c r="F530" s="4"/>
      <c r="G530" s="4"/>
      <c r="H530" s="4"/>
      <c r="I530" s="4"/>
      <c r="J530" s="4"/>
      <c r="K530" s="4"/>
      <c r="L530" s="4"/>
      <c r="M530" s="4"/>
      <c r="N530" s="4"/>
      <c r="O530" s="4"/>
      <c r="P530" s="4"/>
      <c r="Q530" s="4"/>
      <c r="R530" s="4"/>
      <c r="Y530" s="3"/>
      <c r="Z530" s="3"/>
      <c r="AA530" s="3"/>
      <c r="AB530" s="3"/>
    </row>
    <row r="531">
      <c r="A531" s="4"/>
      <c r="B531" s="4"/>
      <c r="C531" s="4"/>
      <c r="D531" s="4"/>
      <c r="E531" s="4"/>
      <c r="F531" s="4"/>
      <c r="G531" s="4"/>
      <c r="H531" s="4"/>
      <c r="I531" s="4"/>
      <c r="J531" s="4"/>
      <c r="K531" s="4"/>
      <c r="L531" s="4"/>
      <c r="M531" s="4"/>
      <c r="N531" s="4"/>
      <c r="O531" s="4"/>
      <c r="P531" s="4"/>
      <c r="Q531" s="4"/>
      <c r="R531" s="4"/>
      <c r="Y531" s="3"/>
      <c r="Z531" s="3"/>
      <c r="AA531" s="3"/>
      <c r="AB531" s="3"/>
    </row>
    <row r="532">
      <c r="A532" s="4"/>
      <c r="B532" s="4"/>
      <c r="C532" s="4"/>
      <c r="D532" s="4"/>
      <c r="E532" s="4"/>
      <c r="F532" s="4"/>
      <c r="G532" s="4"/>
      <c r="H532" s="4"/>
      <c r="I532" s="4"/>
      <c r="J532" s="4"/>
      <c r="K532" s="4"/>
      <c r="L532" s="4"/>
      <c r="M532" s="4"/>
      <c r="N532" s="4"/>
      <c r="O532" s="4"/>
      <c r="P532" s="4"/>
      <c r="Q532" s="4"/>
      <c r="R532" s="4"/>
      <c r="Y532" s="3"/>
      <c r="Z532" s="3"/>
      <c r="AA532" s="3"/>
      <c r="AB532" s="3"/>
    </row>
    <row r="533">
      <c r="A533" s="4"/>
      <c r="B533" s="4"/>
      <c r="C533" s="4"/>
      <c r="D533" s="4"/>
      <c r="E533" s="4"/>
      <c r="F533" s="4"/>
      <c r="G533" s="4"/>
      <c r="H533" s="4"/>
      <c r="I533" s="4"/>
      <c r="J533" s="4"/>
      <c r="K533" s="4"/>
      <c r="L533" s="4"/>
      <c r="M533" s="4"/>
      <c r="N533" s="4"/>
      <c r="O533" s="4"/>
      <c r="P533" s="4"/>
      <c r="Q533" s="4"/>
      <c r="R533" s="4"/>
      <c r="Y533" s="3"/>
      <c r="Z533" s="3"/>
      <c r="AA533" s="3"/>
      <c r="AB533" s="3"/>
    </row>
    <row r="534">
      <c r="A534" s="4"/>
      <c r="B534" s="4"/>
      <c r="C534" s="4"/>
      <c r="D534" s="4"/>
      <c r="E534" s="4"/>
      <c r="F534" s="4"/>
      <c r="G534" s="4"/>
      <c r="H534" s="4"/>
      <c r="I534" s="4"/>
      <c r="J534" s="4"/>
      <c r="K534" s="4"/>
      <c r="L534" s="4"/>
      <c r="M534" s="4"/>
      <c r="N534" s="4"/>
      <c r="O534" s="4"/>
      <c r="P534" s="4"/>
      <c r="Q534" s="4"/>
      <c r="R534" s="4"/>
      <c r="Y534" s="3"/>
      <c r="Z534" s="3"/>
      <c r="AA534" s="3"/>
      <c r="AB534" s="3"/>
    </row>
    <row r="535">
      <c r="A535" s="4"/>
      <c r="B535" s="4"/>
      <c r="C535" s="4"/>
      <c r="D535" s="4"/>
      <c r="E535" s="4"/>
      <c r="F535" s="4"/>
      <c r="G535" s="4"/>
      <c r="H535" s="4"/>
      <c r="I535" s="4"/>
      <c r="J535" s="4"/>
      <c r="K535" s="4"/>
      <c r="L535" s="4"/>
      <c r="M535" s="4"/>
      <c r="N535" s="4"/>
      <c r="O535" s="4"/>
      <c r="P535" s="4"/>
      <c r="Q535" s="4"/>
      <c r="R535" s="4"/>
      <c r="Y535" s="3"/>
      <c r="Z535" s="3"/>
      <c r="AA535" s="3"/>
      <c r="AB535" s="3"/>
    </row>
    <row r="536">
      <c r="A536" s="4"/>
      <c r="B536" s="4"/>
      <c r="C536" s="4"/>
      <c r="D536" s="4"/>
      <c r="E536" s="4"/>
      <c r="F536" s="4"/>
      <c r="G536" s="4"/>
      <c r="H536" s="4"/>
      <c r="I536" s="4"/>
      <c r="J536" s="4"/>
      <c r="K536" s="4"/>
      <c r="L536" s="4"/>
      <c r="M536" s="4"/>
      <c r="N536" s="4"/>
      <c r="O536" s="4"/>
      <c r="P536" s="4"/>
      <c r="Q536" s="4"/>
      <c r="R536" s="4"/>
      <c r="Y536" s="3"/>
      <c r="Z536" s="3"/>
      <c r="AA536" s="3"/>
      <c r="AB536" s="3"/>
    </row>
    <row r="537">
      <c r="A537" s="4"/>
      <c r="B537" s="4"/>
      <c r="C537" s="4"/>
      <c r="D537" s="4"/>
      <c r="E537" s="4"/>
      <c r="F537" s="4"/>
      <c r="G537" s="4"/>
      <c r="H537" s="4"/>
      <c r="I537" s="4"/>
      <c r="J537" s="4"/>
      <c r="K537" s="4"/>
      <c r="L537" s="4"/>
      <c r="M537" s="4"/>
      <c r="N537" s="4"/>
      <c r="O537" s="4"/>
      <c r="P537" s="4"/>
      <c r="Q537" s="4"/>
      <c r="R537" s="4"/>
      <c r="Y537" s="3"/>
      <c r="Z537" s="3"/>
      <c r="AA537" s="3"/>
      <c r="AB537" s="3"/>
    </row>
    <row r="538">
      <c r="A538" s="4"/>
      <c r="B538" s="4"/>
      <c r="C538" s="4"/>
      <c r="D538" s="4"/>
      <c r="E538" s="4"/>
      <c r="F538" s="4"/>
      <c r="G538" s="4"/>
      <c r="H538" s="4"/>
      <c r="I538" s="4"/>
      <c r="J538" s="4"/>
      <c r="K538" s="4"/>
      <c r="L538" s="4"/>
      <c r="M538" s="4"/>
      <c r="N538" s="4"/>
      <c r="O538" s="4"/>
      <c r="P538" s="4"/>
      <c r="Q538" s="4"/>
      <c r="R538" s="4"/>
      <c r="Y538" s="3"/>
      <c r="Z538" s="3"/>
      <c r="AA538" s="3"/>
      <c r="AB538" s="3"/>
    </row>
    <row r="539">
      <c r="A539" s="4"/>
      <c r="B539" s="4"/>
      <c r="C539" s="4"/>
      <c r="D539" s="4"/>
      <c r="E539" s="4"/>
      <c r="F539" s="4"/>
      <c r="G539" s="4"/>
      <c r="H539" s="4"/>
      <c r="I539" s="4"/>
      <c r="J539" s="4"/>
      <c r="K539" s="4"/>
      <c r="L539" s="4"/>
      <c r="M539" s="4"/>
      <c r="N539" s="4"/>
      <c r="O539" s="4"/>
      <c r="P539" s="4"/>
      <c r="Q539" s="4"/>
      <c r="R539" s="4"/>
      <c r="Y539" s="3"/>
      <c r="Z539" s="3"/>
      <c r="AA539" s="3"/>
      <c r="AB539" s="3"/>
    </row>
    <row r="540">
      <c r="A540" s="4"/>
      <c r="B540" s="4"/>
      <c r="C540" s="4"/>
      <c r="D540" s="4"/>
      <c r="E540" s="4"/>
      <c r="F540" s="4"/>
      <c r="G540" s="4"/>
      <c r="H540" s="4"/>
      <c r="I540" s="4"/>
      <c r="J540" s="4"/>
      <c r="K540" s="4"/>
      <c r="L540" s="4"/>
      <c r="M540" s="4"/>
      <c r="N540" s="4"/>
      <c r="O540" s="4"/>
      <c r="P540" s="4"/>
      <c r="Q540" s="4"/>
      <c r="R540" s="4"/>
      <c r="Y540" s="3"/>
      <c r="Z540" s="3"/>
      <c r="AA540" s="3"/>
      <c r="AB540" s="3"/>
    </row>
    <row r="541">
      <c r="A541" s="4"/>
      <c r="B541" s="4"/>
      <c r="C541" s="4"/>
      <c r="D541" s="4"/>
      <c r="E541" s="4"/>
      <c r="F541" s="4"/>
      <c r="G541" s="4"/>
      <c r="H541" s="4"/>
      <c r="I541" s="4"/>
      <c r="J541" s="4"/>
      <c r="K541" s="4"/>
      <c r="L541" s="4"/>
      <c r="M541" s="4"/>
      <c r="N541" s="4"/>
      <c r="O541" s="4"/>
      <c r="P541" s="4"/>
      <c r="Q541" s="4"/>
      <c r="R541" s="4"/>
      <c r="Y541" s="3"/>
      <c r="Z541" s="3"/>
      <c r="AA541" s="3"/>
      <c r="AB541" s="3"/>
    </row>
    <row r="542">
      <c r="A542" s="4"/>
      <c r="B542" s="4"/>
      <c r="C542" s="4"/>
      <c r="D542" s="4"/>
      <c r="E542" s="4"/>
      <c r="F542" s="4"/>
      <c r="G542" s="4"/>
      <c r="H542" s="4"/>
      <c r="I542" s="4"/>
      <c r="J542" s="4"/>
      <c r="K542" s="4"/>
      <c r="L542" s="4"/>
      <c r="M542" s="4"/>
      <c r="N542" s="4"/>
      <c r="O542" s="4"/>
      <c r="P542" s="4"/>
      <c r="Q542" s="4"/>
      <c r="R542" s="4"/>
      <c r="Y542" s="3"/>
      <c r="Z542" s="3"/>
      <c r="AA542" s="3"/>
      <c r="AB542" s="3"/>
    </row>
    <row r="543">
      <c r="A543" s="4"/>
      <c r="B543" s="4"/>
      <c r="C543" s="4"/>
      <c r="D543" s="4"/>
      <c r="E543" s="4"/>
      <c r="F543" s="4"/>
      <c r="G543" s="4"/>
      <c r="H543" s="4"/>
      <c r="I543" s="4"/>
      <c r="J543" s="4"/>
      <c r="K543" s="4"/>
      <c r="L543" s="4"/>
      <c r="M543" s="4"/>
      <c r="N543" s="4"/>
      <c r="O543" s="4"/>
      <c r="P543" s="4"/>
      <c r="Q543" s="4"/>
      <c r="R543" s="4"/>
      <c r="Y543" s="3"/>
      <c r="Z543" s="3"/>
      <c r="AA543" s="3"/>
      <c r="AB543" s="3"/>
    </row>
    <row r="544">
      <c r="A544" s="4"/>
      <c r="B544" s="4"/>
      <c r="C544" s="4"/>
      <c r="D544" s="4"/>
      <c r="E544" s="4"/>
      <c r="F544" s="4"/>
      <c r="G544" s="4"/>
      <c r="H544" s="4"/>
      <c r="I544" s="4"/>
      <c r="J544" s="4"/>
      <c r="K544" s="4"/>
      <c r="L544" s="4"/>
      <c r="M544" s="4"/>
      <c r="N544" s="4"/>
      <c r="O544" s="4"/>
      <c r="P544" s="4"/>
      <c r="Q544" s="4"/>
      <c r="R544" s="4"/>
      <c r="Y544" s="3"/>
      <c r="Z544" s="3"/>
      <c r="AA544" s="3"/>
      <c r="AB544" s="3"/>
    </row>
    <row r="545">
      <c r="A545" s="4"/>
      <c r="B545" s="4"/>
      <c r="C545" s="4"/>
      <c r="D545" s="4"/>
      <c r="E545" s="4"/>
      <c r="F545" s="4"/>
      <c r="G545" s="4"/>
      <c r="H545" s="4"/>
      <c r="I545" s="4"/>
      <c r="J545" s="4"/>
      <c r="K545" s="4"/>
      <c r="L545" s="4"/>
      <c r="M545" s="4"/>
      <c r="N545" s="4"/>
      <c r="O545" s="4"/>
      <c r="P545" s="4"/>
      <c r="Q545" s="4"/>
      <c r="R545" s="4"/>
      <c r="Y545" s="3"/>
      <c r="Z545" s="3"/>
      <c r="AA545" s="3"/>
      <c r="AB545" s="3"/>
    </row>
    <row r="546">
      <c r="A546" s="4"/>
      <c r="B546" s="4"/>
      <c r="C546" s="4"/>
      <c r="D546" s="4"/>
      <c r="E546" s="4"/>
      <c r="F546" s="4"/>
      <c r="G546" s="4"/>
      <c r="H546" s="4"/>
      <c r="I546" s="4"/>
      <c r="J546" s="4"/>
      <c r="K546" s="4"/>
      <c r="L546" s="4"/>
      <c r="M546" s="4"/>
      <c r="N546" s="4"/>
      <c r="O546" s="4"/>
      <c r="P546" s="4"/>
      <c r="Q546" s="4"/>
      <c r="R546" s="4"/>
      <c r="Y546" s="3"/>
      <c r="Z546" s="3"/>
      <c r="AA546" s="3"/>
      <c r="AB546" s="3"/>
    </row>
    <row r="547">
      <c r="A547" s="4"/>
      <c r="B547" s="4"/>
      <c r="C547" s="4"/>
      <c r="D547" s="4"/>
      <c r="E547" s="4"/>
      <c r="F547" s="4"/>
      <c r="G547" s="4"/>
      <c r="H547" s="4"/>
      <c r="I547" s="4"/>
      <c r="J547" s="4"/>
      <c r="K547" s="4"/>
      <c r="L547" s="4"/>
      <c r="M547" s="4"/>
      <c r="N547" s="4"/>
      <c r="O547" s="4"/>
      <c r="P547" s="4"/>
      <c r="Q547" s="4"/>
      <c r="R547" s="4"/>
      <c r="Y547" s="3"/>
      <c r="Z547" s="3"/>
      <c r="AA547" s="3"/>
      <c r="AB547" s="3"/>
    </row>
    <row r="548">
      <c r="A548" s="4"/>
      <c r="B548" s="4"/>
      <c r="C548" s="4"/>
      <c r="D548" s="4"/>
      <c r="E548" s="4"/>
      <c r="F548" s="4"/>
      <c r="G548" s="4"/>
      <c r="H548" s="4"/>
      <c r="I548" s="4"/>
      <c r="J548" s="4"/>
      <c r="K548" s="4"/>
      <c r="L548" s="4"/>
      <c r="M548" s="4"/>
      <c r="N548" s="4"/>
      <c r="O548" s="4"/>
      <c r="P548" s="4"/>
      <c r="Q548" s="4"/>
      <c r="R548" s="4"/>
      <c r="Y548" s="3"/>
      <c r="Z548" s="3"/>
      <c r="AA548" s="3"/>
      <c r="AB548" s="3"/>
    </row>
    <row r="549">
      <c r="A549" s="4"/>
      <c r="B549" s="4"/>
      <c r="C549" s="4"/>
      <c r="D549" s="4"/>
      <c r="E549" s="4"/>
      <c r="F549" s="4"/>
      <c r="G549" s="4"/>
      <c r="H549" s="4"/>
      <c r="I549" s="4"/>
      <c r="J549" s="4"/>
      <c r="K549" s="4"/>
      <c r="L549" s="4"/>
      <c r="M549" s="4"/>
      <c r="N549" s="4"/>
      <c r="O549" s="4"/>
      <c r="P549" s="4"/>
      <c r="Q549" s="4"/>
      <c r="R549" s="4"/>
      <c r="Y549" s="3"/>
      <c r="Z549" s="3"/>
      <c r="AA549" s="3"/>
      <c r="AB549" s="3"/>
    </row>
    <row r="550">
      <c r="A550" s="4"/>
      <c r="B550" s="4"/>
      <c r="C550" s="4"/>
      <c r="D550" s="4"/>
      <c r="E550" s="4"/>
      <c r="F550" s="4"/>
      <c r="G550" s="4"/>
      <c r="H550" s="4"/>
      <c r="I550" s="4"/>
      <c r="J550" s="4"/>
      <c r="K550" s="4"/>
      <c r="L550" s="4"/>
      <c r="M550" s="4"/>
      <c r="N550" s="4"/>
      <c r="O550" s="4"/>
      <c r="P550" s="4"/>
      <c r="Q550" s="4"/>
      <c r="R550" s="4"/>
      <c r="Y550" s="3"/>
      <c r="Z550" s="3"/>
      <c r="AA550" s="3"/>
      <c r="AB550" s="3"/>
    </row>
    <row r="551">
      <c r="A551" s="4"/>
      <c r="B551" s="4"/>
      <c r="C551" s="4"/>
      <c r="D551" s="4"/>
      <c r="E551" s="4"/>
      <c r="F551" s="4"/>
      <c r="G551" s="4"/>
      <c r="H551" s="4"/>
      <c r="I551" s="4"/>
      <c r="J551" s="4"/>
      <c r="K551" s="4"/>
      <c r="L551" s="4"/>
      <c r="M551" s="4"/>
      <c r="N551" s="4"/>
      <c r="O551" s="4"/>
      <c r="P551" s="4"/>
      <c r="Q551" s="4"/>
      <c r="R551" s="4"/>
      <c r="Y551" s="3"/>
      <c r="Z551" s="3"/>
      <c r="AA551" s="3"/>
      <c r="AB551" s="3"/>
    </row>
    <row r="552">
      <c r="A552" s="4"/>
      <c r="B552" s="4"/>
      <c r="C552" s="4"/>
      <c r="D552" s="4"/>
      <c r="E552" s="4"/>
      <c r="F552" s="4"/>
      <c r="G552" s="4"/>
      <c r="H552" s="4"/>
      <c r="I552" s="4"/>
      <c r="J552" s="4"/>
      <c r="K552" s="4"/>
      <c r="L552" s="4"/>
      <c r="M552" s="4"/>
      <c r="N552" s="4"/>
      <c r="O552" s="4"/>
      <c r="P552" s="4"/>
      <c r="Q552" s="4"/>
      <c r="R552" s="4"/>
      <c r="Y552" s="3"/>
      <c r="Z552" s="3"/>
      <c r="AA552" s="3"/>
      <c r="AB552" s="3"/>
    </row>
    <row r="553">
      <c r="A553" s="4"/>
      <c r="B553" s="4"/>
      <c r="C553" s="4"/>
      <c r="D553" s="4"/>
      <c r="E553" s="4"/>
      <c r="F553" s="4"/>
      <c r="G553" s="4"/>
      <c r="H553" s="4"/>
      <c r="I553" s="4"/>
      <c r="J553" s="4"/>
      <c r="K553" s="4"/>
      <c r="L553" s="4"/>
      <c r="M553" s="4"/>
      <c r="N553" s="4"/>
      <c r="O553" s="4"/>
      <c r="P553" s="4"/>
      <c r="Q553" s="4"/>
      <c r="R553" s="4"/>
      <c r="Y553" s="3"/>
      <c r="Z553" s="3"/>
      <c r="AA553" s="3"/>
      <c r="AB553" s="3"/>
    </row>
    <row r="554">
      <c r="A554" s="4"/>
      <c r="B554" s="4"/>
      <c r="C554" s="4"/>
      <c r="D554" s="4"/>
      <c r="E554" s="4"/>
      <c r="F554" s="4"/>
      <c r="G554" s="4"/>
      <c r="H554" s="4"/>
      <c r="I554" s="4"/>
      <c r="J554" s="4"/>
      <c r="K554" s="4"/>
      <c r="L554" s="4"/>
      <c r="M554" s="4"/>
      <c r="N554" s="4"/>
      <c r="O554" s="4"/>
      <c r="P554" s="4"/>
      <c r="Q554" s="4"/>
      <c r="R554" s="4"/>
      <c r="Y554" s="3"/>
      <c r="Z554" s="3"/>
      <c r="AA554" s="3"/>
      <c r="AB554" s="3"/>
    </row>
    <row r="555">
      <c r="A555" s="4"/>
      <c r="B555" s="4"/>
      <c r="C555" s="4"/>
      <c r="D555" s="4"/>
      <c r="E555" s="4"/>
      <c r="F555" s="4"/>
      <c r="G555" s="4"/>
      <c r="H555" s="4"/>
      <c r="I555" s="4"/>
      <c r="J555" s="4"/>
      <c r="K555" s="4"/>
      <c r="L555" s="4"/>
      <c r="M555" s="4"/>
      <c r="N555" s="4"/>
      <c r="O555" s="4"/>
      <c r="P555" s="4"/>
      <c r="Q555" s="4"/>
      <c r="R555" s="4"/>
      <c r="Y555" s="3"/>
      <c r="Z555" s="3"/>
      <c r="AA555" s="3"/>
      <c r="AB555" s="3"/>
    </row>
    <row r="556">
      <c r="A556" s="4"/>
      <c r="B556" s="4"/>
      <c r="C556" s="4"/>
      <c r="D556" s="4"/>
      <c r="E556" s="4"/>
      <c r="F556" s="4"/>
      <c r="G556" s="4"/>
      <c r="H556" s="4"/>
      <c r="I556" s="4"/>
      <c r="J556" s="4"/>
      <c r="K556" s="4"/>
      <c r="L556" s="4"/>
      <c r="M556" s="4"/>
      <c r="N556" s="4"/>
      <c r="O556" s="4"/>
      <c r="P556" s="4"/>
      <c r="Q556" s="4"/>
      <c r="R556" s="4"/>
      <c r="Y556" s="3"/>
      <c r="Z556" s="3"/>
      <c r="AA556" s="3"/>
      <c r="AB556" s="3"/>
    </row>
    <row r="557">
      <c r="A557" s="4"/>
      <c r="B557" s="4"/>
      <c r="C557" s="4"/>
      <c r="D557" s="4"/>
      <c r="E557" s="4"/>
      <c r="F557" s="4"/>
      <c r="G557" s="4"/>
      <c r="H557" s="4"/>
      <c r="I557" s="4"/>
      <c r="J557" s="4"/>
      <c r="K557" s="4"/>
      <c r="L557" s="4"/>
      <c r="M557" s="4"/>
      <c r="N557" s="4"/>
      <c r="O557" s="4"/>
      <c r="P557" s="4"/>
      <c r="Q557" s="4"/>
      <c r="R557" s="4"/>
      <c r="Y557" s="3"/>
      <c r="Z557" s="3"/>
      <c r="AA557" s="3"/>
      <c r="AB557" s="3"/>
    </row>
    <row r="558">
      <c r="A558" s="4"/>
      <c r="B558" s="4"/>
      <c r="C558" s="4"/>
      <c r="D558" s="4"/>
      <c r="E558" s="4"/>
      <c r="F558" s="4"/>
      <c r="G558" s="4"/>
      <c r="H558" s="4"/>
      <c r="I558" s="4"/>
      <c r="J558" s="4"/>
      <c r="K558" s="4"/>
      <c r="L558" s="4"/>
      <c r="M558" s="4"/>
      <c r="N558" s="4"/>
      <c r="O558" s="4"/>
      <c r="P558" s="4"/>
      <c r="Q558" s="4"/>
      <c r="R558" s="4"/>
      <c r="Y558" s="3"/>
      <c r="Z558" s="3"/>
      <c r="AA558" s="3"/>
      <c r="AB558" s="3"/>
    </row>
    <row r="559">
      <c r="A559" s="4"/>
      <c r="B559" s="4"/>
      <c r="C559" s="4"/>
      <c r="D559" s="4"/>
      <c r="E559" s="4"/>
      <c r="F559" s="4"/>
      <c r="G559" s="4"/>
      <c r="H559" s="4"/>
      <c r="I559" s="4"/>
      <c r="J559" s="4"/>
      <c r="K559" s="4"/>
      <c r="L559" s="4"/>
      <c r="M559" s="4"/>
      <c r="N559" s="4"/>
      <c r="O559" s="4"/>
      <c r="P559" s="4"/>
      <c r="Q559" s="4"/>
      <c r="R559" s="4"/>
      <c r="Y559" s="3"/>
      <c r="Z559" s="3"/>
      <c r="AA559" s="3"/>
      <c r="AB559" s="3"/>
    </row>
    <row r="560">
      <c r="A560" s="4"/>
      <c r="B560" s="4"/>
      <c r="C560" s="4"/>
      <c r="D560" s="4"/>
      <c r="E560" s="4"/>
      <c r="F560" s="4"/>
      <c r="G560" s="4"/>
      <c r="H560" s="4"/>
      <c r="I560" s="4"/>
      <c r="J560" s="4"/>
      <c r="K560" s="4"/>
      <c r="L560" s="4"/>
      <c r="M560" s="4"/>
      <c r="N560" s="4"/>
      <c r="O560" s="4"/>
      <c r="P560" s="4"/>
      <c r="Q560" s="4"/>
      <c r="R560" s="4"/>
      <c r="Y560" s="3"/>
      <c r="Z560" s="3"/>
      <c r="AA560" s="3"/>
      <c r="AB560" s="3"/>
    </row>
    <row r="561">
      <c r="A561" s="4"/>
      <c r="B561" s="4"/>
      <c r="C561" s="4"/>
      <c r="D561" s="4"/>
      <c r="E561" s="4"/>
      <c r="F561" s="4"/>
      <c r="G561" s="4"/>
      <c r="H561" s="4"/>
      <c r="I561" s="4"/>
      <c r="J561" s="4"/>
      <c r="K561" s="4"/>
      <c r="L561" s="4"/>
      <c r="M561" s="4"/>
      <c r="N561" s="4"/>
      <c r="O561" s="4"/>
      <c r="P561" s="4"/>
      <c r="Q561" s="4"/>
      <c r="R561" s="4"/>
      <c r="Y561" s="3"/>
      <c r="Z561" s="3"/>
      <c r="AA561" s="3"/>
      <c r="AB561" s="3"/>
    </row>
    <row r="562">
      <c r="A562" s="4"/>
      <c r="B562" s="4"/>
      <c r="C562" s="4"/>
      <c r="D562" s="4"/>
      <c r="E562" s="4"/>
      <c r="F562" s="4"/>
      <c r="G562" s="4"/>
      <c r="H562" s="4"/>
      <c r="I562" s="4"/>
      <c r="J562" s="4"/>
      <c r="K562" s="4"/>
      <c r="L562" s="4"/>
      <c r="M562" s="4"/>
      <c r="N562" s="4"/>
      <c r="O562" s="4"/>
      <c r="P562" s="4"/>
      <c r="Q562" s="4"/>
      <c r="R562" s="4"/>
      <c r="Y562" s="3"/>
      <c r="Z562" s="3"/>
      <c r="AA562" s="3"/>
      <c r="AB562" s="3"/>
    </row>
    <row r="563">
      <c r="A563" s="4"/>
      <c r="B563" s="4"/>
      <c r="C563" s="4"/>
      <c r="D563" s="4"/>
      <c r="E563" s="4"/>
      <c r="F563" s="4"/>
      <c r="G563" s="4"/>
      <c r="H563" s="4"/>
      <c r="I563" s="4"/>
      <c r="J563" s="4"/>
      <c r="K563" s="4"/>
      <c r="L563" s="4"/>
      <c r="M563" s="4"/>
      <c r="N563" s="4"/>
      <c r="O563" s="4"/>
      <c r="P563" s="4"/>
      <c r="Q563" s="4"/>
      <c r="R563" s="4"/>
      <c r="Y563" s="3"/>
      <c r="Z563" s="3"/>
      <c r="AA563" s="3"/>
      <c r="AB563" s="3"/>
    </row>
    <row r="564">
      <c r="A564" s="4"/>
      <c r="B564" s="4"/>
      <c r="C564" s="4"/>
      <c r="D564" s="4"/>
      <c r="E564" s="4"/>
      <c r="F564" s="4"/>
      <c r="G564" s="4"/>
      <c r="H564" s="4"/>
      <c r="I564" s="4"/>
      <c r="J564" s="4"/>
      <c r="K564" s="4"/>
      <c r="L564" s="4"/>
      <c r="M564" s="4"/>
      <c r="N564" s="4"/>
      <c r="O564" s="4"/>
      <c r="P564" s="4"/>
      <c r="Q564" s="4"/>
      <c r="R564" s="4"/>
      <c r="Y564" s="3"/>
      <c r="Z564" s="3"/>
      <c r="AA564" s="3"/>
      <c r="AB564" s="3"/>
    </row>
    <row r="565">
      <c r="A565" s="4"/>
      <c r="B565" s="4"/>
      <c r="C565" s="4"/>
      <c r="D565" s="4"/>
      <c r="E565" s="4"/>
      <c r="F565" s="4"/>
      <c r="G565" s="4"/>
      <c r="H565" s="4"/>
      <c r="I565" s="4"/>
      <c r="J565" s="4"/>
      <c r="K565" s="4"/>
      <c r="L565" s="4"/>
      <c r="M565" s="4"/>
      <c r="N565" s="4"/>
      <c r="O565" s="4"/>
      <c r="P565" s="4"/>
      <c r="Q565" s="4"/>
      <c r="R565" s="4"/>
      <c r="Y565" s="3"/>
      <c r="Z565" s="3"/>
      <c r="AA565" s="3"/>
      <c r="AB565" s="3"/>
    </row>
    <row r="566">
      <c r="A566" s="4"/>
      <c r="B566" s="4"/>
      <c r="C566" s="4"/>
      <c r="D566" s="4"/>
      <c r="E566" s="4"/>
      <c r="F566" s="4"/>
      <c r="G566" s="4"/>
      <c r="H566" s="4"/>
      <c r="I566" s="4"/>
      <c r="J566" s="4"/>
      <c r="K566" s="4"/>
      <c r="L566" s="4"/>
      <c r="M566" s="4"/>
      <c r="N566" s="4"/>
      <c r="O566" s="4"/>
      <c r="P566" s="4"/>
      <c r="Q566" s="4"/>
      <c r="R566" s="4"/>
      <c r="Y566" s="3"/>
      <c r="Z566" s="3"/>
      <c r="AA566" s="3"/>
      <c r="AB566" s="3"/>
    </row>
    <row r="567">
      <c r="A567" s="4"/>
      <c r="B567" s="4"/>
      <c r="C567" s="4"/>
      <c r="D567" s="4"/>
      <c r="E567" s="4"/>
      <c r="F567" s="4"/>
      <c r="G567" s="4"/>
      <c r="H567" s="4"/>
      <c r="I567" s="4"/>
      <c r="J567" s="4"/>
      <c r="K567" s="4"/>
      <c r="L567" s="4"/>
      <c r="M567" s="4"/>
      <c r="N567" s="4"/>
      <c r="O567" s="4"/>
      <c r="P567" s="4"/>
      <c r="Q567" s="4"/>
      <c r="R567" s="4"/>
      <c r="Y567" s="3"/>
      <c r="Z567" s="3"/>
      <c r="AA567" s="3"/>
      <c r="AB567" s="3"/>
    </row>
    <row r="568">
      <c r="A568" s="4"/>
      <c r="B568" s="4"/>
      <c r="C568" s="4"/>
      <c r="D568" s="4"/>
      <c r="E568" s="4"/>
      <c r="F568" s="4"/>
      <c r="G568" s="4"/>
      <c r="H568" s="4"/>
      <c r="I568" s="4"/>
      <c r="J568" s="4"/>
      <c r="K568" s="4"/>
      <c r="L568" s="4"/>
      <c r="M568" s="4"/>
      <c r="N568" s="4"/>
      <c r="O568" s="4"/>
      <c r="P568" s="4"/>
      <c r="Q568" s="4"/>
      <c r="R568" s="4"/>
      <c r="Y568" s="3"/>
      <c r="Z568" s="3"/>
      <c r="AA568" s="3"/>
      <c r="AB568" s="3"/>
    </row>
    <row r="569">
      <c r="A569" s="4"/>
      <c r="B569" s="4"/>
      <c r="C569" s="4"/>
      <c r="D569" s="4"/>
      <c r="E569" s="4"/>
      <c r="F569" s="4"/>
      <c r="G569" s="4"/>
      <c r="H569" s="4"/>
      <c r="I569" s="4"/>
      <c r="J569" s="4"/>
      <c r="K569" s="4"/>
      <c r="L569" s="4"/>
      <c r="M569" s="4"/>
      <c r="N569" s="4"/>
      <c r="O569" s="4"/>
      <c r="P569" s="4"/>
      <c r="Q569" s="4"/>
      <c r="R569" s="4"/>
      <c r="Y569" s="3"/>
      <c r="Z569" s="3"/>
      <c r="AA569" s="3"/>
      <c r="AB569" s="3"/>
    </row>
    <row r="570">
      <c r="A570" s="4"/>
      <c r="B570" s="4"/>
      <c r="C570" s="4"/>
      <c r="D570" s="4"/>
      <c r="E570" s="4"/>
      <c r="F570" s="4"/>
      <c r="G570" s="4"/>
      <c r="H570" s="4"/>
      <c r="I570" s="4"/>
      <c r="J570" s="4"/>
      <c r="K570" s="4"/>
      <c r="L570" s="4"/>
      <c r="M570" s="4"/>
      <c r="N570" s="4"/>
      <c r="O570" s="4"/>
      <c r="P570" s="4"/>
      <c r="Q570" s="4"/>
      <c r="R570" s="4"/>
      <c r="Y570" s="3"/>
      <c r="Z570" s="3"/>
      <c r="AA570" s="3"/>
      <c r="AB570" s="3"/>
    </row>
    <row r="571">
      <c r="A571" s="4"/>
      <c r="B571" s="4"/>
      <c r="C571" s="4"/>
      <c r="D571" s="4"/>
      <c r="E571" s="4"/>
      <c r="F571" s="4"/>
      <c r="G571" s="4"/>
      <c r="H571" s="4"/>
      <c r="I571" s="4"/>
      <c r="J571" s="4"/>
      <c r="K571" s="4"/>
      <c r="L571" s="4"/>
      <c r="M571" s="4"/>
      <c r="N571" s="4"/>
      <c r="O571" s="4"/>
      <c r="P571" s="4"/>
      <c r="Q571" s="4"/>
      <c r="R571" s="4"/>
      <c r="Y571" s="3"/>
      <c r="Z571" s="3"/>
      <c r="AA571" s="3"/>
      <c r="AB571" s="3"/>
    </row>
    <row r="572">
      <c r="A572" s="4"/>
      <c r="B572" s="4"/>
      <c r="C572" s="4"/>
      <c r="D572" s="4"/>
      <c r="E572" s="4"/>
      <c r="F572" s="4"/>
      <c r="G572" s="4"/>
      <c r="H572" s="4"/>
      <c r="I572" s="4"/>
      <c r="J572" s="4"/>
      <c r="K572" s="4"/>
      <c r="L572" s="4"/>
      <c r="M572" s="4"/>
      <c r="N572" s="4"/>
      <c r="O572" s="4"/>
      <c r="P572" s="4"/>
      <c r="Q572" s="4"/>
      <c r="R572" s="4"/>
      <c r="Y572" s="3"/>
      <c r="Z572" s="3"/>
      <c r="AA572" s="3"/>
      <c r="AB572" s="3"/>
    </row>
    <row r="573">
      <c r="A573" s="4"/>
      <c r="B573" s="4"/>
      <c r="C573" s="4"/>
      <c r="D573" s="4"/>
      <c r="E573" s="4"/>
      <c r="F573" s="4"/>
      <c r="G573" s="4"/>
      <c r="H573" s="4"/>
      <c r="I573" s="4"/>
      <c r="J573" s="4"/>
      <c r="K573" s="4"/>
      <c r="L573" s="4"/>
      <c r="M573" s="4"/>
      <c r="N573" s="4"/>
      <c r="O573" s="4"/>
      <c r="P573" s="4"/>
      <c r="Q573" s="4"/>
      <c r="R573" s="4"/>
      <c r="Y573" s="3"/>
      <c r="Z573" s="3"/>
      <c r="AA573" s="3"/>
      <c r="AB573" s="3"/>
    </row>
    <row r="574">
      <c r="A574" s="4"/>
      <c r="B574" s="4"/>
      <c r="C574" s="4"/>
      <c r="D574" s="4"/>
      <c r="E574" s="4"/>
      <c r="F574" s="4"/>
      <c r="G574" s="4"/>
      <c r="H574" s="4"/>
      <c r="I574" s="4"/>
      <c r="J574" s="4"/>
      <c r="K574" s="4"/>
      <c r="L574" s="4"/>
      <c r="M574" s="4"/>
      <c r="N574" s="4"/>
      <c r="O574" s="4"/>
      <c r="P574" s="4"/>
      <c r="Q574" s="4"/>
      <c r="R574" s="4"/>
      <c r="Y574" s="3"/>
      <c r="Z574" s="3"/>
      <c r="AA574" s="3"/>
      <c r="AB574" s="3"/>
    </row>
    <row r="575">
      <c r="A575" s="4"/>
      <c r="B575" s="4"/>
      <c r="C575" s="4"/>
      <c r="D575" s="4"/>
      <c r="E575" s="4"/>
      <c r="F575" s="4"/>
      <c r="G575" s="4"/>
      <c r="H575" s="4"/>
      <c r="I575" s="4"/>
      <c r="J575" s="4"/>
      <c r="K575" s="4"/>
      <c r="L575" s="4"/>
      <c r="M575" s="4"/>
      <c r="N575" s="4"/>
      <c r="O575" s="4"/>
      <c r="P575" s="4"/>
      <c r="Q575" s="4"/>
      <c r="R575" s="4"/>
      <c r="Y575" s="3"/>
      <c r="Z575" s="3"/>
      <c r="AA575" s="3"/>
      <c r="AB575" s="3"/>
    </row>
    <row r="576">
      <c r="A576" s="4"/>
      <c r="B576" s="4"/>
      <c r="C576" s="4"/>
      <c r="D576" s="4"/>
      <c r="E576" s="4"/>
      <c r="F576" s="4"/>
      <c r="G576" s="4"/>
      <c r="H576" s="4"/>
      <c r="I576" s="4"/>
      <c r="J576" s="4"/>
      <c r="K576" s="4"/>
      <c r="L576" s="4"/>
      <c r="M576" s="4"/>
      <c r="N576" s="4"/>
      <c r="O576" s="4"/>
      <c r="P576" s="4"/>
      <c r="Q576" s="4"/>
      <c r="R576" s="4"/>
      <c r="Y576" s="3"/>
      <c r="Z576" s="3"/>
      <c r="AA576" s="3"/>
      <c r="AB576" s="3"/>
    </row>
    <row r="577">
      <c r="A577" s="4"/>
      <c r="B577" s="4"/>
      <c r="C577" s="4"/>
      <c r="D577" s="4"/>
      <c r="E577" s="4"/>
      <c r="F577" s="4"/>
      <c r="G577" s="4"/>
      <c r="H577" s="4"/>
      <c r="I577" s="4"/>
      <c r="J577" s="4"/>
      <c r="K577" s="4"/>
      <c r="L577" s="4"/>
      <c r="M577" s="4"/>
      <c r="N577" s="4"/>
      <c r="O577" s="4"/>
      <c r="P577" s="4"/>
      <c r="Q577" s="4"/>
      <c r="R577" s="4"/>
      <c r="Y577" s="3"/>
      <c r="Z577" s="3"/>
      <c r="AA577" s="3"/>
      <c r="AB577" s="3"/>
    </row>
    <row r="578">
      <c r="A578" s="4"/>
      <c r="B578" s="4"/>
      <c r="C578" s="4"/>
      <c r="D578" s="4"/>
      <c r="E578" s="4"/>
      <c r="F578" s="4"/>
      <c r="G578" s="4"/>
      <c r="H578" s="4"/>
      <c r="I578" s="4"/>
      <c r="J578" s="4"/>
      <c r="K578" s="4"/>
      <c r="L578" s="4"/>
      <c r="M578" s="4"/>
      <c r="N578" s="4"/>
      <c r="O578" s="4"/>
      <c r="P578" s="4"/>
      <c r="Q578" s="4"/>
      <c r="R578" s="4"/>
      <c r="Y578" s="3"/>
      <c r="Z578" s="3"/>
      <c r="AA578" s="3"/>
      <c r="AB578" s="3"/>
    </row>
    <row r="579">
      <c r="A579" s="4"/>
      <c r="B579" s="4"/>
      <c r="C579" s="4"/>
      <c r="D579" s="4"/>
      <c r="E579" s="4"/>
      <c r="F579" s="4"/>
      <c r="G579" s="4"/>
      <c r="H579" s="4"/>
      <c r="I579" s="4"/>
      <c r="J579" s="4"/>
      <c r="K579" s="4"/>
      <c r="L579" s="4"/>
      <c r="M579" s="4"/>
      <c r="N579" s="4"/>
      <c r="O579" s="4"/>
      <c r="P579" s="4"/>
      <c r="Q579" s="4"/>
      <c r="R579" s="4"/>
      <c r="Y579" s="3"/>
      <c r="Z579" s="3"/>
      <c r="AA579" s="3"/>
      <c r="AB579" s="3"/>
    </row>
    <row r="580">
      <c r="A580" s="4"/>
      <c r="B580" s="4"/>
      <c r="C580" s="4"/>
      <c r="D580" s="4"/>
      <c r="E580" s="4"/>
      <c r="F580" s="4"/>
      <c r="G580" s="4"/>
      <c r="H580" s="4"/>
      <c r="I580" s="4"/>
      <c r="J580" s="4"/>
      <c r="K580" s="4"/>
      <c r="L580" s="4"/>
      <c r="M580" s="4"/>
      <c r="N580" s="4"/>
      <c r="O580" s="4"/>
      <c r="P580" s="4"/>
      <c r="Q580" s="4"/>
      <c r="R580" s="4"/>
      <c r="Y580" s="3"/>
      <c r="Z580" s="3"/>
      <c r="AA580" s="3"/>
      <c r="AB580" s="3"/>
    </row>
    <row r="581">
      <c r="A581" s="4"/>
      <c r="B581" s="4"/>
      <c r="C581" s="4"/>
      <c r="D581" s="4"/>
      <c r="E581" s="4"/>
      <c r="F581" s="4"/>
      <c r="G581" s="4"/>
      <c r="H581" s="4"/>
      <c r="I581" s="4"/>
      <c r="J581" s="4"/>
      <c r="K581" s="4"/>
      <c r="L581" s="4"/>
      <c r="M581" s="4"/>
      <c r="N581" s="4"/>
      <c r="O581" s="4"/>
      <c r="P581" s="4"/>
      <c r="Q581" s="4"/>
      <c r="R581" s="4"/>
      <c r="Y581" s="3"/>
      <c r="Z581" s="3"/>
      <c r="AA581" s="3"/>
      <c r="AB581" s="3"/>
    </row>
    <row r="582">
      <c r="A582" s="4"/>
      <c r="B582" s="4"/>
      <c r="C582" s="4"/>
      <c r="D582" s="4"/>
      <c r="E582" s="4"/>
      <c r="F582" s="4"/>
      <c r="G582" s="4"/>
      <c r="H582" s="4"/>
      <c r="I582" s="4"/>
      <c r="J582" s="4"/>
      <c r="K582" s="4"/>
      <c r="L582" s="4"/>
      <c r="M582" s="4"/>
      <c r="N582" s="4"/>
      <c r="O582" s="4"/>
      <c r="P582" s="4"/>
      <c r="Q582" s="4"/>
      <c r="R582" s="4"/>
      <c r="Y582" s="3"/>
      <c r="Z582" s="3"/>
      <c r="AA582" s="3"/>
      <c r="AB582" s="3"/>
    </row>
    <row r="583">
      <c r="A583" s="4"/>
      <c r="B583" s="4"/>
      <c r="C583" s="4"/>
      <c r="D583" s="4"/>
      <c r="E583" s="4"/>
      <c r="F583" s="4"/>
      <c r="G583" s="4"/>
      <c r="H583" s="4"/>
      <c r="I583" s="4"/>
      <c r="J583" s="4"/>
      <c r="K583" s="4"/>
      <c r="L583" s="4"/>
      <c r="M583" s="4"/>
      <c r="N583" s="4"/>
      <c r="O583" s="4"/>
      <c r="P583" s="4"/>
      <c r="Q583" s="4"/>
      <c r="R583" s="4"/>
      <c r="Y583" s="3"/>
      <c r="Z583" s="3"/>
      <c r="AA583" s="3"/>
      <c r="AB583" s="3"/>
    </row>
    <row r="584">
      <c r="A584" s="4"/>
      <c r="B584" s="4"/>
      <c r="C584" s="4"/>
      <c r="D584" s="4"/>
      <c r="E584" s="4"/>
      <c r="F584" s="4"/>
      <c r="G584" s="4"/>
      <c r="H584" s="4"/>
      <c r="I584" s="4"/>
      <c r="J584" s="4"/>
      <c r="K584" s="4"/>
      <c r="L584" s="4"/>
      <c r="M584" s="4"/>
      <c r="N584" s="4"/>
      <c r="O584" s="4"/>
      <c r="P584" s="4"/>
      <c r="Q584" s="4"/>
      <c r="R584" s="4"/>
      <c r="Y584" s="3"/>
      <c r="Z584" s="3"/>
      <c r="AA584" s="3"/>
      <c r="AB584" s="3"/>
    </row>
    <row r="585">
      <c r="A585" s="4"/>
      <c r="B585" s="4"/>
      <c r="C585" s="4"/>
      <c r="D585" s="4"/>
      <c r="E585" s="4"/>
      <c r="F585" s="4"/>
      <c r="G585" s="4"/>
      <c r="H585" s="4"/>
      <c r="I585" s="4"/>
      <c r="J585" s="4"/>
      <c r="K585" s="4"/>
      <c r="L585" s="4"/>
      <c r="M585" s="4"/>
      <c r="N585" s="4"/>
      <c r="O585" s="4"/>
      <c r="P585" s="4"/>
      <c r="Q585" s="4"/>
      <c r="R585" s="4"/>
      <c r="Y585" s="3"/>
      <c r="Z585" s="3"/>
      <c r="AA585" s="3"/>
      <c r="AB585" s="3"/>
    </row>
    <row r="586">
      <c r="A586" s="4"/>
      <c r="B586" s="4"/>
      <c r="C586" s="4"/>
      <c r="D586" s="4"/>
      <c r="E586" s="4"/>
      <c r="F586" s="4"/>
      <c r="G586" s="4"/>
      <c r="H586" s="4"/>
      <c r="I586" s="4"/>
      <c r="J586" s="4"/>
      <c r="K586" s="4"/>
      <c r="L586" s="4"/>
      <c r="M586" s="4"/>
      <c r="N586" s="4"/>
      <c r="O586" s="4"/>
      <c r="P586" s="4"/>
      <c r="Q586" s="4"/>
      <c r="R586" s="4"/>
      <c r="Y586" s="3"/>
      <c r="Z586" s="3"/>
      <c r="AA586" s="3"/>
      <c r="AB586" s="3"/>
    </row>
    <row r="587">
      <c r="A587" s="4"/>
      <c r="B587" s="4"/>
      <c r="C587" s="4"/>
      <c r="D587" s="4"/>
      <c r="E587" s="4"/>
      <c r="F587" s="4"/>
      <c r="G587" s="4"/>
      <c r="H587" s="4"/>
      <c r="I587" s="4"/>
      <c r="J587" s="4"/>
      <c r="K587" s="4"/>
      <c r="L587" s="4"/>
      <c r="M587" s="4"/>
      <c r="N587" s="4"/>
      <c r="O587" s="4"/>
      <c r="P587" s="4"/>
      <c r="Q587" s="4"/>
      <c r="R587" s="4"/>
      <c r="Y587" s="3"/>
      <c r="Z587" s="3"/>
      <c r="AA587" s="3"/>
      <c r="AB587" s="3"/>
    </row>
    <row r="588">
      <c r="A588" s="4"/>
      <c r="B588" s="4"/>
      <c r="C588" s="4"/>
      <c r="D588" s="4"/>
      <c r="E588" s="4"/>
      <c r="F588" s="4"/>
      <c r="G588" s="4"/>
      <c r="H588" s="4"/>
      <c r="I588" s="4"/>
      <c r="J588" s="4"/>
      <c r="K588" s="4"/>
      <c r="L588" s="4"/>
      <c r="M588" s="4"/>
      <c r="N588" s="4"/>
      <c r="O588" s="4"/>
      <c r="P588" s="4"/>
      <c r="Q588" s="4"/>
      <c r="R588" s="4"/>
      <c r="Y588" s="3"/>
      <c r="Z588" s="3"/>
      <c r="AA588" s="3"/>
      <c r="AB588" s="3"/>
    </row>
    <row r="589">
      <c r="A589" s="4"/>
      <c r="B589" s="4"/>
      <c r="C589" s="4"/>
      <c r="D589" s="4"/>
      <c r="E589" s="4"/>
      <c r="F589" s="4"/>
      <c r="G589" s="4"/>
      <c r="H589" s="4"/>
      <c r="I589" s="4"/>
      <c r="J589" s="4"/>
      <c r="K589" s="4"/>
      <c r="L589" s="4"/>
      <c r="M589" s="4"/>
      <c r="N589" s="4"/>
      <c r="O589" s="4"/>
      <c r="P589" s="4"/>
      <c r="Q589" s="4"/>
      <c r="R589" s="4"/>
      <c r="Y589" s="3"/>
      <c r="Z589" s="3"/>
      <c r="AA589" s="3"/>
      <c r="AB589" s="3"/>
    </row>
    <row r="590">
      <c r="A590" s="4"/>
      <c r="B590" s="4"/>
      <c r="C590" s="4"/>
      <c r="D590" s="4"/>
      <c r="E590" s="4"/>
      <c r="F590" s="4"/>
      <c r="G590" s="4"/>
      <c r="H590" s="4"/>
      <c r="I590" s="4"/>
      <c r="J590" s="4"/>
      <c r="K590" s="4"/>
      <c r="L590" s="4"/>
      <c r="M590" s="4"/>
      <c r="N590" s="4"/>
      <c r="O590" s="4"/>
      <c r="P590" s="4"/>
      <c r="Q590" s="4"/>
      <c r="R590" s="4"/>
      <c r="Y590" s="3"/>
      <c r="Z590" s="3"/>
      <c r="AA590" s="3"/>
      <c r="AB590" s="3"/>
    </row>
    <row r="591">
      <c r="A591" s="4"/>
      <c r="B591" s="4"/>
      <c r="C591" s="4"/>
      <c r="D591" s="4"/>
      <c r="E591" s="4"/>
      <c r="F591" s="4"/>
      <c r="G591" s="4"/>
      <c r="H591" s="4"/>
      <c r="I591" s="4"/>
      <c r="J591" s="4"/>
      <c r="K591" s="4"/>
      <c r="L591" s="4"/>
      <c r="M591" s="4"/>
      <c r="N591" s="4"/>
      <c r="O591" s="4"/>
      <c r="P591" s="4"/>
      <c r="Q591" s="4"/>
      <c r="R591" s="4"/>
      <c r="Y591" s="3"/>
      <c r="Z591" s="3"/>
      <c r="AA591" s="3"/>
      <c r="AB591" s="3"/>
    </row>
    <row r="592">
      <c r="A592" s="4"/>
      <c r="B592" s="4"/>
      <c r="C592" s="4"/>
      <c r="D592" s="4"/>
      <c r="E592" s="4"/>
      <c r="F592" s="4"/>
      <c r="G592" s="4"/>
      <c r="H592" s="4"/>
      <c r="I592" s="4"/>
      <c r="J592" s="4"/>
      <c r="K592" s="4"/>
      <c r="L592" s="4"/>
      <c r="M592" s="4"/>
      <c r="N592" s="4"/>
      <c r="O592" s="4"/>
      <c r="P592" s="4"/>
      <c r="Q592" s="4"/>
      <c r="R592" s="4"/>
      <c r="Y592" s="3"/>
      <c r="Z592" s="3"/>
      <c r="AA592" s="3"/>
      <c r="AB592" s="3"/>
    </row>
    <row r="593">
      <c r="A593" s="4"/>
      <c r="B593" s="4"/>
      <c r="C593" s="4"/>
      <c r="D593" s="4"/>
      <c r="E593" s="4"/>
      <c r="F593" s="4"/>
      <c r="G593" s="4"/>
      <c r="H593" s="4"/>
      <c r="I593" s="4"/>
      <c r="J593" s="4"/>
      <c r="K593" s="4"/>
      <c r="L593" s="4"/>
      <c r="M593" s="4"/>
      <c r="N593" s="4"/>
      <c r="O593" s="4"/>
      <c r="P593" s="4"/>
      <c r="Q593" s="4"/>
      <c r="R593" s="4"/>
      <c r="Y593" s="3"/>
      <c r="Z593" s="3"/>
      <c r="AA593" s="3"/>
      <c r="AB593" s="3"/>
    </row>
    <row r="594">
      <c r="A594" s="4"/>
      <c r="B594" s="4"/>
      <c r="C594" s="4"/>
      <c r="D594" s="4"/>
      <c r="E594" s="4"/>
      <c r="F594" s="4"/>
      <c r="G594" s="4"/>
      <c r="H594" s="4"/>
      <c r="I594" s="4"/>
      <c r="J594" s="4"/>
      <c r="K594" s="4"/>
      <c r="L594" s="4"/>
      <c r="M594" s="4"/>
      <c r="N594" s="4"/>
      <c r="O594" s="4"/>
      <c r="P594" s="4"/>
      <c r="Q594" s="4"/>
      <c r="R594" s="4"/>
      <c r="Y594" s="3"/>
      <c r="Z594" s="3"/>
      <c r="AA594" s="3"/>
      <c r="AB594" s="3"/>
    </row>
    <row r="595">
      <c r="A595" s="4"/>
      <c r="B595" s="4"/>
      <c r="C595" s="4"/>
      <c r="D595" s="4"/>
      <c r="E595" s="4"/>
      <c r="F595" s="4"/>
      <c r="G595" s="4"/>
      <c r="H595" s="4"/>
      <c r="I595" s="4"/>
      <c r="J595" s="4"/>
      <c r="K595" s="4"/>
      <c r="L595" s="4"/>
      <c r="M595" s="4"/>
      <c r="N595" s="4"/>
      <c r="O595" s="4"/>
      <c r="P595" s="4"/>
      <c r="Q595" s="4"/>
      <c r="R595" s="4"/>
      <c r="Y595" s="3"/>
      <c r="Z595" s="3"/>
      <c r="AA595" s="3"/>
      <c r="AB595" s="3"/>
    </row>
    <row r="596">
      <c r="A596" s="4"/>
      <c r="B596" s="4"/>
      <c r="C596" s="4"/>
      <c r="D596" s="4"/>
      <c r="E596" s="4"/>
      <c r="F596" s="4"/>
      <c r="G596" s="4"/>
      <c r="H596" s="4"/>
      <c r="I596" s="4"/>
      <c r="J596" s="4"/>
      <c r="K596" s="4"/>
      <c r="L596" s="4"/>
      <c r="M596" s="4"/>
      <c r="N596" s="4"/>
      <c r="O596" s="4"/>
      <c r="P596" s="4"/>
      <c r="Q596" s="4"/>
      <c r="R596" s="4"/>
      <c r="Y596" s="3"/>
      <c r="Z596" s="3"/>
      <c r="AA596" s="3"/>
      <c r="AB596" s="3"/>
    </row>
    <row r="597">
      <c r="A597" s="4"/>
      <c r="B597" s="4"/>
      <c r="C597" s="4"/>
      <c r="D597" s="4"/>
      <c r="E597" s="4"/>
      <c r="F597" s="4"/>
      <c r="G597" s="4"/>
      <c r="H597" s="4"/>
      <c r="I597" s="4"/>
      <c r="J597" s="4"/>
      <c r="K597" s="4"/>
      <c r="L597" s="4"/>
      <c r="M597" s="4"/>
      <c r="N597" s="4"/>
      <c r="O597" s="4"/>
      <c r="P597" s="4"/>
      <c r="Q597" s="4"/>
      <c r="R597" s="4"/>
      <c r="Y597" s="3"/>
      <c r="Z597" s="3"/>
      <c r="AA597" s="3"/>
      <c r="AB597" s="3"/>
    </row>
    <row r="598">
      <c r="A598" s="4"/>
      <c r="B598" s="4"/>
      <c r="C598" s="4"/>
      <c r="D598" s="4"/>
      <c r="E598" s="4"/>
      <c r="F598" s="4"/>
      <c r="G598" s="4"/>
      <c r="H598" s="4"/>
      <c r="I598" s="4"/>
      <c r="J598" s="4"/>
      <c r="K598" s="4"/>
      <c r="L598" s="4"/>
      <c r="M598" s="4"/>
      <c r="N598" s="4"/>
      <c r="O598" s="4"/>
      <c r="P598" s="4"/>
      <c r="Q598" s="4"/>
      <c r="R598" s="4"/>
      <c r="Y598" s="3"/>
      <c r="Z598" s="3"/>
      <c r="AA598" s="3"/>
      <c r="AB598" s="3"/>
    </row>
    <row r="599">
      <c r="A599" s="4"/>
      <c r="B599" s="4"/>
      <c r="C599" s="4"/>
      <c r="D599" s="4"/>
      <c r="E599" s="4"/>
      <c r="F599" s="4"/>
      <c r="G599" s="4"/>
      <c r="H599" s="4"/>
      <c r="I599" s="4"/>
      <c r="J599" s="4"/>
      <c r="K599" s="4"/>
      <c r="L599" s="4"/>
      <c r="M599" s="4"/>
      <c r="N599" s="4"/>
      <c r="O599" s="4"/>
      <c r="P599" s="4"/>
      <c r="Q599" s="4"/>
      <c r="R599" s="4"/>
      <c r="Y599" s="3"/>
      <c r="Z599" s="3"/>
      <c r="AA599" s="3"/>
      <c r="AB599" s="3"/>
    </row>
    <row r="600">
      <c r="A600" s="4"/>
      <c r="B600" s="4"/>
      <c r="C600" s="4"/>
      <c r="D600" s="4"/>
      <c r="E600" s="4"/>
      <c r="F600" s="4"/>
      <c r="G600" s="4"/>
      <c r="H600" s="4"/>
      <c r="I600" s="4"/>
      <c r="J600" s="4"/>
      <c r="K600" s="4"/>
      <c r="L600" s="4"/>
      <c r="M600" s="4"/>
      <c r="N600" s="4"/>
      <c r="O600" s="4"/>
      <c r="P600" s="4"/>
      <c r="Q600" s="4"/>
      <c r="R600" s="4"/>
      <c r="Y600" s="3"/>
      <c r="Z600" s="3"/>
      <c r="AA600" s="3"/>
      <c r="AB600" s="3"/>
    </row>
    <row r="601">
      <c r="A601" s="4"/>
      <c r="B601" s="4"/>
      <c r="C601" s="4"/>
      <c r="D601" s="4"/>
      <c r="E601" s="4"/>
      <c r="F601" s="4"/>
      <c r="G601" s="4"/>
      <c r="H601" s="4"/>
      <c r="I601" s="4"/>
      <c r="J601" s="4"/>
      <c r="K601" s="4"/>
      <c r="L601" s="4"/>
      <c r="M601" s="4"/>
      <c r="N601" s="4"/>
      <c r="O601" s="4"/>
      <c r="P601" s="4"/>
      <c r="Q601" s="4"/>
      <c r="R601" s="4"/>
      <c r="Y601" s="3"/>
      <c r="Z601" s="3"/>
      <c r="AA601" s="3"/>
      <c r="AB601" s="3"/>
    </row>
    <row r="602">
      <c r="A602" s="4"/>
      <c r="B602" s="4"/>
      <c r="C602" s="4"/>
      <c r="D602" s="4"/>
      <c r="E602" s="4"/>
      <c r="F602" s="4"/>
      <c r="G602" s="4"/>
      <c r="H602" s="4"/>
      <c r="I602" s="4"/>
      <c r="J602" s="4"/>
      <c r="K602" s="4"/>
      <c r="L602" s="4"/>
      <c r="M602" s="4"/>
      <c r="N602" s="4"/>
      <c r="O602" s="4"/>
      <c r="P602" s="4"/>
      <c r="Q602" s="4"/>
      <c r="R602" s="4"/>
      <c r="Y602" s="3"/>
      <c r="Z602" s="3"/>
      <c r="AA602" s="3"/>
      <c r="AB602" s="3"/>
    </row>
    <row r="603">
      <c r="A603" s="4"/>
      <c r="B603" s="4"/>
      <c r="C603" s="4"/>
      <c r="D603" s="4"/>
      <c r="E603" s="4"/>
      <c r="F603" s="4"/>
      <c r="G603" s="4"/>
      <c r="H603" s="4"/>
      <c r="I603" s="4"/>
      <c r="J603" s="4"/>
      <c r="K603" s="4"/>
      <c r="L603" s="4"/>
      <c r="M603" s="4"/>
      <c r="N603" s="4"/>
      <c r="O603" s="4"/>
      <c r="P603" s="4"/>
      <c r="Q603" s="4"/>
      <c r="R603" s="4"/>
      <c r="Y603" s="3"/>
      <c r="Z603" s="3"/>
      <c r="AA603" s="3"/>
      <c r="AB603" s="3"/>
    </row>
    <row r="604">
      <c r="A604" s="4"/>
      <c r="B604" s="4"/>
      <c r="C604" s="4"/>
      <c r="D604" s="4"/>
      <c r="E604" s="4"/>
      <c r="F604" s="4"/>
      <c r="G604" s="4"/>
      <c r="H604" s="4"/>
      <c r="I604" s="4"/>
      <c r="J604" s="4"/>
      <c r="K604" s="4"/>
      <c r="L604" s="4"/>
      <c r="M604" s="4"/>
      <c r="N604" s="4"/>
      <c r="O604" s="4"/>
      <c r="P604" s="4"/>
      <c r="Q604" s="4"/>
      <c r="R604" s="4"/>
      <c r="Y604" s="3"/>
      <c r="Z604" s="3"/>
      <c r="AA604" s="3"/>
      <c r="AB604" s="3"/>
    </row>
    <row r="605">
      <c r="A605" s="4"/>
      <c r="B605" s="4"/>
      <c r="C605" s="4"/>
      <c r="D605" s="4"/>
      <c r="E605" s="4"/>
      <c r="F605" s="4"/>
      <c r="G605" s="4"/>
      <c r="H605" s="4"/>
      <c r="I605" s="4"/>
      <c r="J605" s="4"/>
      <c r="K605" s="4"/>
      <c r="L605" s="4"/>
      <c r="M605" s="4"/>
      <c r="N605" s="4"/>
      <c r="O605" s="4"/>
      <c r="P605" s="4"/>
      <c r="Q605" s="4"/>
      <c r="R605" s="4"/>
      <c r="Y605" s="3"/>
      <c r="Z605" s="3"/>
      <c r="AA605" s="3"/>
      <c r="AB605" s="3"/>
    </row>
    <row r="606">
      <c r="A606" s="4"/>
      <c r="B606" s="4"/>
      <c r="C606" s="4"/>
      <c r="D606" s="4"/>
      <c r="E606" s="4"/>
      <c r="F606" s="4"/>
      <c r="G606" s="4"/>
      <c r="H606" s="4"/>
      <c r="I606" s="4"/>
      <c r="J606" s="4"/>
      <c r="K606" s="4"/>
      <c r="L606" s="4"/>
      <c r="M606" s="4"/>
      <c r="N606" s="4"/>
      <c r="O606" s="4"/>
      <c r="P606" s="4"/>
      <c r="Q606" s="4"/>
      <c r="R606" s="4"/>
      <c r="Y606" s="3"/>
      <c r="Z606" s="3"/>
      <c r="AA606" s="3"/>
      <c r="AB606" s="3"/>
    </row>
    <row r="607">
      <c r="A607" s="4"/>
      <c r="B607" s="4"/>
      <c r="C607" s="4"/>
      <c r="D607" s="4"/>
      <c r="E607" s="4"/>
      <c r="F607" s="4"/>
      <c r="G607" s="4"/>
      <c r="H607" s="4"/>
      <c r="I607" s="4"/>
      <c r="J607" s="4"/>
      <c r="K607" s="4"/>
      <c r="L607" s="4"/>
      <c r="M607" s="4"/>
      <c r="N607" s="4"/>
      <c r="O607" s="4"/>
      <c r="P607" s="4"/>
      <c r="Q607" s="4"/>
      <c r="R607" s="4"/>
      <c r="Y607" s="3"/>
      <c r="Z607" s="3"/>
      <c r="AA607" s="3"/>
      <c r="AB607" s="3"/>
    </row>
    <row r="608">
      <c r="A608" s="4"/>
      <c r="B608" s="4"/>
      <c r="C608" s="4"/>
      <c r="D608" s="4"/>
      <c r="E608" s="4"/>
      <c r="F608" s="4"/>
      <c r="G608" s="4"/>
      <c r="H608" s="4"/>
      <c r="I608" s="4"/>
      <c r="J608" s="4"/>
      <c r="K608" s="4"/>
      <c r="L608" s="4"/>
      <c r="M608" s="4"/>
      <c r="N608" s="4"/>
      <c r="O608" s="4"/>
      <c r="P608" s="4"/>
      <c r="Q608" s="4"/>
      <c r="R608" s="4"/>
      <c r="Y608" s="3"/>
      <c r="Z608" s="3"/>
      <c r="AA608" s="3"/>
      <c r="AB608" s="3"/>
    </row>
    <row r="609">
      <c r="A609" s="4"/>
      <c r="B609" s="4"/>
      <c r="C609" s="4"/>
      <c r="D609" s="4"/>
      <c r="E609" s="4"/>
      <c r="F609" s="4"/>
      <c r="G609" s="4"/>
      <c r="H609" s="4"/>
      <c r="I609" s="4"/>
      <c r="J609" s="4"/>
      <c r="K609" s="4"/>
      <c r="L609" s="4"/>
      <c r="M609" s="4"/>
      <c r="N609" s="4"/>
      <c r="O609" s="4"/>
      <c r="P609" s="4"/>
      <c r="Q609" s="4"/>
      <c r="R609" s="4"/>
      <c r="Y609" s="3"/>
      <c r="Z609" s="3"/>
      <c r="AA609" s="3"/>
      <c r="AB609" s="3"/>
    </row>
    <row r="610">
      <c r="A610" s="4"/>
      <c r="B610" s="4"/>
      <c r="C610" s="4"/>
      <c r="D610" s="4"/>
      <c r="E610" s="4"/>
      <c r="F610" s="4"/>
      <c r="G610" s="4"/>
      <c r="H610" s="4"/>
      <c r="I610" s="4"/>
      <c r="J610" s="4"/>
      <c r="K610" s="4"/>
      <c r="L610" s="4"/>
      <c r="M610" s="4"/>
      <c r="N610" s="4"/>
      <c r="O610" s="4"/>
      <c r="P610" s="4"/>
      <c r="Q610" s="4"/>
      <c r="R610" s="4"/>
      <c r="Y610" s="3"/>
      <c r="Z610" s="3"/>
      <c r="AA610" s="3"/>
      <c r="AB610" s="3"/>
    </row>
    <row r="611">
      <c r="A611" s="4"/>
      <c r="B611" s="4"/>
      <c r="C611" s="4"/>
      <c r="D611" s="4"/>
      <c r="E611" s="4"/>
      <c r="F611" s="4"/>
      <c r="G611" s="4"/>
      <c r="H611" s="4"/>
      <c r="I611" s="4"/>
      <c r="J611" s="4"/>
      <c r="K611" s="4"/>
      <c r="L611" s="4"/>
      <c r="M611" s="4"/>
      <c r="N611" s="4"/>
      <c r="O611" s="4"/>
      <c r="P611" s="4"/>
      <c r="Q611" s="4"/>
      <c r="R611" s="4"/>
      <c r="Y611" s="3"/>
      <c r="Z611" s="3"/>
      <c r="AA611" s="3"/>
      <c r="AB611" s="3"/>
    </row>
    <row r="612">
      <c r="A612" s="4"/>
      <c r="B612" s="4"/>
      <c r="C612" s="4"/>
      <c r="D612" s="4"/>
      <c r="E612" s="4"/>
      <c r="F612" s="4"/>
      <c r="G612" s="4"/>
      <c r="H612" s="4"/>
      <c r="I612" s="4"/>
      <c r="J612" s="4"/>
      <c r="K612" s="4"/>
      <c r="L612" s="4"/>
      <c r="M612" s="4"/>
      <c r="N612" s="4"/>
      <c r="O612" s="4"/>
      <c r="P612" s="4"/>
      <c r="Q612" s="4"/>
      <c r="R612" s="4"/>
      <c r="Y612" s="3"/>
      <c r="Z612" s="3"/>
      <c r="AA612" s="3"/>
      <c r="AB612" s="3"/>
    </row>
    <row r="613">
      <c r="A613" s="4"/>
      <c r="B613" s="4"/>
      <c r="C613" s="4"/>
      <c r="D613" s="4"/>
      <c r="E613" s="4"/>
      <c r="F613" s="4"/>
      <c r="G613" s="4"/>
      <c r="H613" s="4"/>
      <c r="I613" s="4"/>
      <c r="J613" s="4"/>
      <c r="K613" s="4"/>
      <c r="L613" s="4"/>
      <c r="M613" s="4"/>
      <c r="N613" s="4"/>
      <c r="O613" s="4"/>
      <c r="P613" s="4"/>
      <c r="Q613" s="4"/>
      <c r="R613" s="4"/>
      <c r="Y613" s="3"/>
      <c r="Z613" s="3"/>
      <c r="AA613" s="3"/>
      <c r="AB613" s="3"/>
    </row>
    <row r="614">
      <c r="A614" s="4"/>
      <c r="B614" s="4"/>
      <c r="C614" s="4"/>
      <c r="D614" s="4"/>
      <c r="E614" s="4"/>
      <c r="F614" s="4"/>
      <c r="G614" s="4"/>
      <c r="H614" s="4"/>
      <c r="I614" s="4"/>
      <c r="J614" s="4"/>
      <c r="K614" s="4"/>
      <c r="L614" s="4"/>
      <c r="M614" s="4"/>
      <c r="N614" s="4"/>
      <c r="O614" s="4"/>
      <c r="P614" s="4"/>
      <c r="Q614" s="4"/>
      <c r="R614" s="4"/>
      <c r="Y614" s="3"/>
      <c r="Z614" s="3"/>
      <c r="AA614" s="3"/>
      <c r="AB614" s="3"/>
    </row>
    <row r="615">
      <c r="A615" s="4"/>
      <c r="B615" s="4"/>
      <c r="C615" s="4"/>
      <c r="D615" s="4"/>
      <c r="E615" s="4"/>
      <c r="F615" s="4"/>
      <c r="G615" s="4"/>
      <c r="H615" s="4"/>
      <c r="I615" s="4"/>
      <c r="J615" s="4"/>
      <c r="K615" s="4"/>
      <c r="L615" s="4"/>
      <c r="M615" s="4"/>
      <c r="N615" s="4"/>
      <c r="O615" s="4"/>
      <c r="P615" s="4"/>
      <c r="Q615" s="4"/>
      <c r="R615" s="4"/>
      <c r="Y615" s="3"/>
      <c r="Z615" s="3"/>
      <c r="AA615" s="3"/>
      <c r="AB615" s="3"/>
    </row>
    <row r="616">
      <c r="A616" s="4"/>
      <c r="B616" s="4"/>
      <c r="C616" s="4"/>
      <c r="D616" s="4"/>
      <c r="E616" s="4"/>
      <c r="F616" s="4"/>
      <c r="G616" s="4"/>
      <c r="H616" s="4"/>
      <c r="I616" s="4"/>
      <c r="J616" s="4"/>
      <c r="K616" s="4"/>
      <c r="L616" s="4"/>
      <c r="M616" s="4"/>
      <c r="N616" s="4"/>
      <c r="O616" s="4"/>
      <c r="P616" s="4"/>
      <c r="Q616" s="4"/>
      <c r="R616" s="4"/>
      <c r="Y616" s="3"/>
      <c r="Z616" s="3"/>
      <c r="AA616" s="3"/>
      <c r="AB616" s="3"/>
    </row>
    <row r="617">
      <c r="A617" s="4"/>
      <c r="B617" s="4"/>
      <c r="C617" s="4"/>
      <c r="D617" s="4"/>
      <c r="E617" s="4"/>
      <c r="F617" s="4"/>
      <c r="G617" s="4"/>
      <c r="H617" s="4"/>
      <c r="I617" s="4"/>
      <c r="J617" s="4"/>
      <c r="K617" s="4"/>
      <c r="L617" s="4"/>
      <c r="M617" s="4"/>
      <c r="N617" s="4"/>
      <c r="O617" s="4"/>
      <c r="P617" s="4"/>
      <c r="Q617" s="4"/>
      <c r="R617" s="4"/>
      <c r="Y617" s="3"/>
      <c r="Z617" s="3"/>
      <c r="AA617" s="3"/>
      <c r="AB617" s="3"/>
    </row>
    <row r="618">
      <c r="A618" s="4"/>
      <c r="B618" s="4"/>
      <c r="C618" s="4"/>
      <c r="D618" s="4"/>
      <c r="E618" s="4"/>
      <c r="F618" s="4"/>
      <c r="G618" s="4"/>
      <c r="H618" s="4"/>
      <c r="I618" s="4"/>
      <c r="J618" s="4"/>
      <c r="K618" s="4"/>
      <c r="L618" s="4"/>
      <c r="M618" s="4"/>
      <c r="N618" s="4"/>
      <c r="O618" s="4"/>
      <c r="P618" s="4"/>
      <c r="Q618" s="4"/>
      <c r="R618" s="4"/>
      <c r="Y618" s="3"/>
      <c r="Z618" s="3"/>
      <c r="AA618" s="3"/>
      <c r="AB618" s="3"/>
    </row>
    <row r="619">
      <c r="A619" s="4"/>
      <c r="B619" s="4"/>
      <c r="C619" s="4"/>
      <c r="D619" s="4"/>
      <c r="E619" s="4"/>
      <c r="F619" s="4"/>
      <c r="G619" s="4"/>
      <c r="H619" s="4"/>
      <c r="I619" s="4"/>
      <c r="J619" s="4"/>
      <c r="K619" s="4"/>
      <c r="L619" s="4"/>
      <c r="M619" s="4"/>
      <c r="N619" s="4"/>
      <c r="O619" s="4"/>
      <c r="P619" s="4"/>
      <c r="Q619" s="4"/>
      <c r="R619" s="4"/>
      <c r="Y619" s="3"/>
      <c r="Z619" s="3"/>
      <c r="AA619" s="3"/>
      <c r="AB619" s="3"/>
    </row>
    <row r="620">
      <c r="A620" s="4"/>
      <c r="B620" s="4"/>
      <c r="C620" s="4"/>
      <c r="D620" s="4"/>
      <c r="E620" s="4"/>
      <c r="F620" s="4"/>
      <c r="G620" s="4"/>
      <c r="H620" s="4"/>
      <c r="I620" s="4"/>
      <c r="J620" s="4"/>
      <c r="K620" s="4"/>
      <c r="L620" s="4"/>
      <c r="M620" s="4"/>
      <c r="N620" s="4"/>
      <c r="O620" s="4"/>
      <c r="P620" s="4"/>
      <c r="Q620" s="4"/>
      <c r="R620" s="4"/>
      <c r="Y620" s="3"/>
      <c r="Z620" s="3"/>
      <c r="AA620" s="3"/>
      <c r="AB620" s="3"/>
    </row>
    <row r="621">
      <c r="A621" s="4"/>
      <c r="B621" s="4"/>
      <c r="C621" s="4"/>
      <c r="D621" s="4"/>
      <c r="E621" s="4"/>
      <c r="F621" s="4"/>
      <c r="G621" s="4"/>
      <c r="H621" s="4"/>
      <c r="I621" s="4"/>
      <c r="J621" s="4"/>
      <c r="K621" s="4"/>
      <c r="L621" s="4"/>
      <c r="M621" s="4"/>
      <c r="N621" s="4"/>
      <c r="O621" s="4"/>
      <c r="P621" s="4"/>
      <c r="Q621" s="4"/>
      <c r="R621" s="4"/>
      <c r="Y621" s="3"/>
      <c r="Z621" s="3"/>
      <c r="AA621" s="3"/>
      <c r="AB621" s="3"/>
    </row>
    <row r="622">
      <c r="A622" s="4"/>
      <c r="B622" s="4"/>
      <c r="C622" s="4"/>
      <c r="D622" s="4"/>
      <c r="E622" s="4"/>
      <c r="F622" s="4"/>
      <c r="G622" s="4"/>
      <c r="H622" s="4"/>
      <c r="I622" s="4"/>
      <c r="J622" s="4"/>
      <c r="K622" s="4"/>
      <c r="L622" s="4"/>
      <c r="M622" s="4"/>
      <c r="N622" s="4"/>
      <c r="O622" s="4"/>
      <c r="P622" s="4"/>
      <c r="Q622" s="4"/>
      <c r="R622" s="4"/>
      <c r="Y622" s="3"/>
      <c r="Z622" s="3"/>
      <c r="AA622" s="3"/>
      <c r="AB622" s="3"/>
    </row>
    <row r="623">
      <c r="A623" s="4"/>
      <c r="B623" s="4"/>
      <c r="C623" s="4"/>
      <c r="D623" s="4"/>
      <c r="E623" s="4"/>
      <c r="F623" s="4"/>
      <c r="G623" s="4"/>
      <c r="H623" s="4"/>
      <c r="I623" s="4"/>
      <c r="J623" s="4"/>
      <c r="K623" s="4"/>
      <c r="L623" s="4"/>
      <c r="M623" s="4"/>
      <c r="N623" s="4"/>
      <c r="O623" s="4"/>
      <c r="P623" s="4"/>
      <c r="Q623" s="4"/>
      <c r="R623" s="4"/>
      <c r="Y623" s="3"/>
      <c r="Z623" s="3"/>
      <c r="AA623" s="3"/>
      <c r="AB623" s="3"/>
    </row>
    <row r="624">
      <c r="A624" s="4"/>
      <c r="B624" s="4"/>
      <c r="C624" s="4"/>
      <c r="D624" s="4"/>
      <c r="E624" s="4"/>
      <c r="F624" s="4"/>
      <c r="G624" s="4"/>
      <c r="H624" s="4"/>
      <c r="I624" s="4"/>
      <c r="J624" s="4"/>
      <c r="K624" s="4"/>
      <c r="L624" s="4"/>
      <c r="M624" s="4"/>
      <c r="N624" s="4"/>
      <c r="O624" s="4"/>
      <c r="P624" s="4"/>
      <c r="Q624" s="4"/>
      <c r="R624" s="4"/>
      <c r="Y624" s="3"/>
      <c r="Z624" s="3"/>
      <c r="AA624" s="3"/>
      <c r="AB624" s="3"/>
    </row>
    <row r="625">
      <c r="A625" s="4"/>
      <c r="B625" s="4"/>
      <c r="C625" s="4"/>
      <c r="D625" s="4"/>
      <c r="E625" s="4"/>
      <c r="F625" s="4"/>
      <c r="G625" s="4"/>
      <c r="H625" s="4"/>
      <c r="I625" s="4"/>
      <c r="J625" s="4"/>
      <c r="K625" s="4"/>
      <c r="L625" s="4"/>
      <c r="M625" s="4"/>
      <c r="N625" s="4"/>
      <c r="O625" s="4"/>
      <c r="P625" s="4"/>
      <c r="Q625" s="4"/>
      <c r="R625" s="4"/>
      <c r="Y625" s="3"/>
      <c r="Z625" s="3"/>
      <c r="AA625" s="3"/>
      <c r="AB625" s="3"/>
    </row>
    <row r="626">
      <c r="A626" s="4"/>
      <c r="B626" s="4"/>
      <c r="C626" s="4"/>
      <c r="D626" s="4"/>
      <c r="E626" s="4"/>
      <c r="F626" s="4"/>
      <c r="G626" s="4"/>
      <c r="H626" s="4"/>
      <c r="I626" s="4"/>
      <c r="J626" s="4"/>
      <c r="K626" s="4"/>
      <c r="L626" s="4"/>
      <c r="M626" s="4"/>
      <c r="N626" s="4"/>
      <c r="O626" s="4"/>
      <c r="P626" s="4"/>
      <c r="Q626" s="4"/>
      <c r="R626" s="4"/>
      <c r="Y626" s="3"/>
      <c r="Z626" s="3"/>
      <c r="AA626" s="3"/>
      <c r="AB626" s="3"/>
    </row>
    <row r="627">
      <c r="A627" s="4"/>
      <c r="B627" s="4"/>
      <c r="C627" s="4"/>
      <c r="D627" s="4"/>
      <c r="E627" s="4"/>
      <c r="F627" s="4"/>
      <c r="G627" s="4"/>
      <c r="H627" s="4"/>
      <c r="I627" s="4"/>
      <c r="J627" s="4"/>
      <c r="K627" s="4"/>
      <c r="L627" s="4"/>
      <c r="M627" s="4"/>
      <c r="N627" s="4"/>
      <c r="O627" s="4"/>
      <c r="P627" s="4"/>
      <c r="Q627" s="4"/>
      <c r="R627" s="4"/>
      <c r="Y627" s="3"/>
      <c r="Z627" s="3"/>
      <c r="AA627" s="3"/>
      <c r="AB627" s="3"/>
    </row>
    <row r="628">
      <c r="A628" s="4"/>
      <c r="B628" s="4"/>
      <c r="C628" s="4"/>
      <c r="D628" s="4"/>
      <c r="E628" s="4"/>
      <c r="F628" s="4"/>
      <c r="G628" s="4"/>
      <c r="H628" s="4"/>
      <c r="I628" s="4"/>
      <c r="J628" s="4"/>
      <c r="K628" s="4"/>
      <c r="L628" s="4"/>
      <c r="M628" s="4"/>
      <c r="N628" s="4"/>
      <c r="O628" s="4"/>
      <c r="P628" s="4"/>
      <c r="Q628" s="4"/>
      <c r="R628" s="4"/>
      <c r="Y628" s="3"/>
      <c r="Z628" s="3"/>
      <c r="AA628" s="3"/>
      <c r="AB628" s="3"/>
    </row>
    <row r="629">
      <c r="A629" s="4"/>
      <c r="B629" s="4"/>
      <c r="C629" s="4"/>
      <c r="D629" s="4"/>
      <c r="E629" s="4"/>
      <c r="F629" s="4"/>
      <c r="G629" s="4"/>
      <c r="H629" s="4"/>
      <c r="I629" s="4"/>
      <c r="J629" s="4"/>
      <c r="K629" s="4"/>
      <c r="L629" s="4"/>
      <c r="M629" s="4"/>
      <c r="N629" s="4"/>
      <c r="O629" s="4"/>
      <c r="P629" s="4"/>
      <c r="Q629" s="4"/>
      <c r="R629" s="4"/>
      <c r="Y629" s="3"/>
      <c r="Z629" s="3"/>
      <c r="AA629" s="3"/>
      <c r="AB629" s="3"/>
    </row>
    <row r="630">
      <c r="A630" s="4"/>
      <c r="B630" s="4"/>
      <c r="C630" s="4"/>
      <c r="D630" s="4"/>
      <c r="E630" s="4"/>
      <c r="F630" s="4"/>
      <c r="G630" s="4"/>
      <c r="H630" s="4"/>
      <c r="I630" s="4"/>
      <c r="J630" s="4"/>
      <c r="K630" s="4"/>
      <c r="L630" s="4"/>
      <c r="M630" s="4"/>
      <c r="N630" s="4"/>
      <c r="O630" s="4"/>
      <c r="P630" s="4"/>
      <c r="Q630" s="4"/>
      <c r="R630" s="4"/>
      <c r="Y630" s="3"/>
      <c r="Z630" s="3"/>
      <c r="AA630" s="3"/>
      <c r="AB630" s="3"/>
    </row>
    <row r="631">
      <c r="A631" s="4"/>
      <c r="B631" s="4"/>
      <c r="C631" s="4"/>
      <c r="D631" s="4"/>
      <c r="E631" s="4"/>
      <c r="F631" s="4"/>
      <c r="G631" s="4"/>
      <c r="H631" s="4"/>
      <c r="I631" s="4"/>
      <c r="J631" s="4"/>
      <c r="K631" s="4"/>
      <c r="L631" s="4"/>
      <c r="M631" s="4"/>
      <c r="N631" s="4"/>
      <c r="O631" s="4"/>
      <c r="P631" s="4"/>
      <c r="Q631" s="4"/>
      <c r="R631" s="4"/>
      <c r="Y631" s="3"/>
      <c r="Z631" s="3"/>
      <c r="AA631" s="3"/>
      <c r="AB631" s="3"/>
    </row>
    <row r="632">
      <c r="A632" s="4"/>
      <c r="B632" s="4"/>
      <c r="C632" s="4"/>
      <c r="D632" s="4"/>
      <c r="E632" s="4"/>
      <c r="F632" s="4"/>
      <c r="G632" s="4"/>
      <c r="H632" s="4"/>
      <c r="I632" s="4"/>
      <c r="J632" s="4"/>
      <c r="K632" s="4"/>
      <c r="L632" s="4"/>
      <c r="M632" s="4"/>
      <c r="N632" s="4"/>
      <c r="O632" s="4"/>
      <c r="P632" s="4"/>
      <c r="Q632" s="4"/>
      <c r="R632" s="4"/>
      <c r="Y632" s="3"/>
      <c r="Z632" s="3"/>
      <c r="AA632" s="3"/>
      <c r="AB632" s="3"/>
    </row>
    <row r="633">
      <c r="A633" s="4"/>
      <c r="B633" s="4"/>
      <c r="C633" s="4"/>
      <c r="D633" s="4"/>
      <c r="E633" s="4"/>
      <c r="F633" s="4"/>
      <c r="G633" s="4"/>
      <c r="H633" s="4"/>
      <c r="I633" s="4"/>
      <c r="J633" s="4"/>
      <c r="K633" s="4"/>
      <c r="L633" s="4"/>
      <c r="M633" s="4"/>
      <c r="N633" s="4"/>
      <c r="O633" s="4"/>
      <c r="P633" s="4"/>
      <c r="Q633" s="4"/>
      <c r="R633" s="4"/>
      <c r="Y633" s="3"/>
      <c r="Z633" s="3"/>
      <c r="AA633" s="3"/>
      <c r="AB633" s="3"/>
    </row>
    <row r="634">
      <c r="A634" s="4"/>
      <c r="B634" s="4"/>
      <c r="C634" s="4"/>
      <c r="D634" s="4"/>
      <c r="E634" s="4"/>
      <c r="F634" s="4"/>
      <c r="G634" s="4"/>
      <c r="H634" s="4"/>
      <c r="I634" s="4"/>
      <c r="J634" s="4"/>
      <c r="K634" s="4"/>
      <c r="L634" s="4"/>
      <c r="M634" s="4"/>
      <c r="N634" s="4"/>
      <c r="O634" s="4"/>
      <c r="P634" s="4"/>
      <c r="Q634" s="4"/>
      <c r="R634" s="4"/>
      <c r="Y634" s="3"/>
      <c r="Z634" s="3"/>
      <c r="AA634" s="3"/>
      <c r="AB634" s="3"/>
    </row>
    <row r="635">
      <c r="A635" s="4"/>
      <c r="B635" s="4"/>
      <c r="C635" s="4"/>
      <c r="D635" s="4"/>
      <c r="E635" s="4"/>
      <c r="F635" s="4"/>
      <c r="G635" s="4"/>
      <c r="H635" s="4"/>
      <c r="I635" s="4"/>
      <c r="J635" s="4"/>
      <c r="K635" s="4"/>
      <c r="L635" s="4"/>
      <c r="M635" s="4"/>
      <c r="N635" s="4"/>
      <c r="O635" s="4"/>
      <c r="P635" s="4"/>
      <c r="Q635" s="4"/>
      <c r="R635" s="4"/>
      <c r="Y635" s="3"/>
      <c r="Z635" s="3"/>
      <c r="AA635" s="3"/>
      <c r="AB635" s="3"/>
    </row>
    <row r="636">
      <c r="A636" s="4"/>
      <c r="B636" s="4"/>
      <c r="C636" s="4"/>
      <c r="D636" s="4"/>
      <c r="E636" s="4"/>
      <c r="F636" s="4"/>
      <c r="G636" s="4"/>
      <c r="H636" s="4"/>
      <c r="I636" s="4"/>
      <c r="J636" s="4"/>
      <c r="K636" s="4"/>
      <c r="L636" s="4"/>
      <c r="M636" s="4"/>
      <c r="N636" s="4"/>
      <c r="O636" s="4"/>
      <c r="P636" s="4"/>
      <c r="Q636" s="4"/>
      <c r="R636" s="4"/>
      <c r="Y636" s="3"/>
      <c r="Z636" s="3"/>
      <c r="AA636" s="3"/>
      <c r="AB636" s="3"/>
    </row>
    <row r="637">
      <c r="A637" s="4"/>
      <c r="B637" s="4"/>
      <c r="C637" s="4"/>
      <c r="D637" s="4"/>
      <c r="E637" s="4"/>
      <c r="F637" s="4"/>
      <c r="G637" s="4"/>
      <c r="H637" s="4"/>
      <c r="I637" s="4"/>
      <c r="J637" s="4"/>
      <c r="K637" s="4"/>
      <c r="L637" s="4"/>
      <c r="M637" s="4"/>
      <c r="N637" s="4"/>
      <c r="O637" s="4"/>
      <c r="P637" s="4"/>
      <c r="Q637" s="4"/>
      <c r="R637" s="4"/>
      <c r="Y637" s="3"/>
      <c r="Z637" s="3"/>
      <c r="AA637" s="3"/>
      <c r="AB637" s="3"/>
    </row>
    <row r="638">
      <c r="A638" s="4"/>
      <c r="B638" s="4"/>
      <c r="C638" s="4"/>
      <c r="D638" s="4"/>
      <c r="E638" s="4"/>
      <c r="F638" s="4"/>
      <c r="G638" s="4"/>
      <c r="H638" s="4"/>
      <c r="I638" s="4"/>
      <c r="J638" s="4"/>
      <c r="K638" s="4"/>
      <c r="L638" s="4"/>
      <c r="M638" s="4"/>
      <c r="N638" s="4"/>
      <c r="O638" s="4"/>
      <c r="P638" s="4"/>
      <c r="Q638" s="4"/>
      <c r="R638" s="4"/>
      <c r="Y638" s="3"/>
      <c r="Z638" s="3"/>
      <c r="AA638" s="3"/>
      <c r="AB638" s="3"/>
    </row>
    <row r="639">
      <c r="A639" s="4"/>
      <c r="B639" s="4"/>
      <c r="C639" s="4"/>
      <c r="D639" s="4"/>
      <c r="E639" s="4"/>
      <c r="F639" s="4"/>
      <c r="G639" s="4"/>
      <c r="H639" s="4"/>
      <c r="I639" s="4"/>
      <c r="J639" s="4"/>
      <c r="K639" s="4"/>
      <c r="L639" s="4"/>
      <c r="M639" s="4"/>
      <c r="N639" s="4"/>
      <c r="O639" s="4"/>
      <c r="P639" s="4"/>
      <c r="Q639" s="4"/>
      <c r="R639" s="4"/>
      <c r="Y639" s="3"/>
      <c r="Z639" s="3"/>
      <c r="AA639" s="3"/>
      <c r="AB639" s="3"/>
    </row>
    <row r="640">
      <c r="A640" s="4"/>
      <c r="B640" s="4"/>
      <c r="C640" s="4"/>
      <c r="D640" s="4"/>
      <c r="E640" s="4"/>
      <c r="F640" s="4"/>
      <c r="G640" s="4"/>
      <c r="H640" s="4"/>
      <c r="I640" s="4"/>
      <c r="J640" s="4"/>
      <c r="K640" s="4"/>
      <c r="L640" s="4"/>
      <c r="M640" s="4"/>
      <c r="N640" s="4"/>
      <c r="O640" s="4"/>
      <c r="P640" s="4"/>
      <c r="Q640" s="4"/>
      <c r="R640" s="4"/>
      <c r="Y640" s="3"/>
      <c r="Z640" s="3"/>
      <c r="AA640" s="3"/>
      <c r="AB640" s="3"/>
    </row>
    <row r="641">
      <c r="A641" s="4"/>
      <c r="B641" s="4"/>
      <c r="C641" s="4"/>
      <c r="D641" s="4"/>
      <c r="E641" s="4"/>
      <c r="F641" s="4"/>
      <c r="G641" s="4"/>
      <c r="H641" s="4"/>
      <c r="I641" s="4"/>
      <c r="J641" s="4"/>
      <c r="K641" s="4"/>
      <c r="L641" s="4"/>
      <c r="M641" s="4"/>
      <c r="N641" s="4"/>
      <c r="O641" s="4"/>
      <c r="P641" s="4"/>
      <c r="Q641" s="4"/>
      <c r="R641" s="4"/>
      <c r="Y641" s="3"/>
      <c r="Z641" s="3"/>
      <c r="AA641" s="3"/>
      <c r="AB641" s="3"/>
    </row>
    <row r="642">
      <c r="A642" s="4"/>
      <c r="B642" s="4"/>
      <c r="C642" s="4"/>
      <c r="D642" s="4"/>
      <c r="E642" s="4"/>
      <c r="F642" s="4"/>
      <c r="G642" s="4"/>
      <c r="H642" s="4"/>
      <c r="I642" s="4"/>
      <c r="J642" s="4"/>
      <c r="K642" s="4"/>
      <c r="L642" s="4"/>
      <c r="M642" s="4"/>
      <c r="N642" s="4"/>
      <c r="O642" s="4"/>
      <c r="P642" s="4"/>
      <c r="Q642" s="4"/>
      <c r="R642" s="4"/>
      <c r="Y642" s="3"/>
      <c r="Z642" s="3"/>
      <c r="AA642" s="3"/>
      <c r="AB642" s="3"/>
    </row>
    <row r="643">
      <c r="A643" s="4"/>
      <c r="B643" s="4"/>
      <c r="C643" s="4"/>
      <c r="D643" s="4"/>
      <c r="E643" s="4"/>
      <c r="F643" s="4"/>
      <c r="G643" s="4"/>
      <c r="H643" s="4"/>
      <c r="I643" s="4"/>
      <c r="J643" s="4"/>
      <c r="K643" s="4"/>
      <c r="L643" s="4"/>
      <c r="M643" s="4"/>
      <c r="N643" s="4"/>
      <c r="O643" s="4"/>
      <c r="P643" s="4"/>
      <c r="Q643" s="4"/>
      <c r="R643" s="4"/>
      <c r="Y643" s="3"/>
      <c r="Z643" s="3"/>
      <c r="AA643" s="3"/>
      <c r="AB643" s="3"/>
    </row>
    <row r="644">
      <c r="A644" s="4"/>
      <c r="B644" s="4"/>
      <c r="C644" s="4"/>
      <c r="D644" s="4"/>
      <c r="E644" s="4"/>
      <c r="F644" s="4"/>
      <c r="G644" s="4"/>
      <c r="H644" s="4"/>
      <c r="I644" s="4"/>
      <c r="J644" s="4"/>
      <c r="K644" s="4"/>
      <c r="L644" s="4"/>
      <c r="M644" s="4"/>
      <c r="N644" s="4"/>
      <c r="O644" s="4"/>
      <c r="P644" s="4"/>
      <c r="Q644" s="4"/>
      <c r="R644" s="4"/>
      <c r="Y644" s="3"/>
      <c r="Z644" s="3"/>
      <c r="AA644" s="3"/>
      <c r="AB644" s="3"/>
    </row>
    <row r="645">
      <c r="A645" s="4"/>
      <c r="B645" s="4"/>
      <c r="C645" s="4"/>
      <c r="D645" s="4"/>
      <c r="E645" s="4"/>
      <c r="F645" s="4"/>
      <c r="G645" s="4"/>
      <c r="H645" s="4"/>
      <c r="I645" s="4"/>
      <c r="J645" s="4"/>
      <c r="K645" s="4"/>
      <c r="L645" s="4"/>
      <c r="M645" s="4"/>
      <c r="N645" s="4"/>
      <c r="O645" s="4"/>
      <c r="P645" s="4"/>
      <c r="Q645" s="4"/>
      <c r="R645" s="4"/>
      <c r="Y645" s="3"/>
      <c r="Z645" s="3"/>
      <c r="AA645" s="3"/>
      <c r="AB645" s="3"/>
    </row>
    <row r="646">
      <c r="A646" s="4"/>
      <c r="B646" s="4"/>
      <c r="C646" s="4"/>
      <c r="D646" s="4"/>
      <c r="E646" s="4"/>
      <c r="F646" s="4"/>
      <c r="G646" s="4"/>
      <c r="H646" s="4"/>
      <c r="I646" s="4"/>
      <c r="J646" s="4"/>
      <c r="K646" s="4"/>
      <c r="L646" s="4"/>
      <c r="M646" s="4"/>
      <c r="N646" s="4"/>
      <c r="O646" s="4"/>
      <c r="P646" s="4"/>
      <c r="Q646" s="4"/>
      <c r="R646" s="4"/>
      <c r="Y646" s="3"/>
      <c r="Z646" s="3"/>
      <c r="AA646" s="3"/>
      <c r="AB646" s="3"/>
    </row>
    <row r="647">
      <c r="A647" s="4"/>
      <c r="B647" s="4"/>
      <c r="C647" s="4"/>
      <c r="D647" s="4"/>
      <c r="E647" s="4"/>
      <c r="F647" s="4"/>
      <c r="G647" s="4"/>
      <c r="H647" s="4"/>
      <c r="I647" s="4"/>
      <c r="J647" s="4"/>
      <c r="K647" s="4"/>
      <c r="L647" s="4"/>
      <c r="M647" s="4"/>
      <c r="N647" s="4"/>
      <c r="O647" s="4"/>
      <c r="P647" s="4"/>
      <c r="Q647" s="4"/>
      <c r="R647" s="4"/>
      <c r="Y647" s="3"/>
      <c r="Z647" s="3"/>
      <c r="AA647" s="3"/>
      <c r="AB647" s="3"/>
    </row>
    <row r="648">
      <c r="A648" s="4"/>
      <c r="B648" s="4"/>
      <c r="C648" s="4"/>
      <c r="D648" s="4"/>
      <c r="E648" s="4"/>
      <c r="F648" s="4"/>
      <c r="G648" s="4"/>
      <c r="H648" s="4"/>
      <c r="I648" s="4"/>
      <c r="J648" s="4"/>
      <c r="K648" s="4"/>
      <c r="L648" s="4"/>
      <c r="M648" s="4"/>
      <c r="N648" s="4"/>
      <c r="O648" s="4"/>
      <c r="P648" s="4"/>
      <c r="Q648" s="4"/>
      <c r="R648" s="4"/>
      <c r="Y648" s="3"/>
      <c r="Z648" s="3"/>
      <c r="AA648" s="3"/>
      <c r="AB648" s="3"/>
    </row>
    <row r="649">
      <c r="A649" s="4"/>
      <c r="B649" s="4"/>
      <c r="C649" s="4"/>
      <c r="D649" s="4"/>
      <c r="E649" s="4"/>
      <c r="F649" s="4"/>
      <c r="G649" s="4"/>
      <c r="H649" s="4"/>
      <c r="I649" s="4"/>
      <c r="J649" s="4"/>
      <c r="K649" s="4"/>
      <c r="L649" s="4"/>
      <c r="M649" s="4"/>
      <c r="N649" s="4"/>
      <c r="O649" s="4"/>
      <c r="P649" s="4"/>
      <c r="Q649" s="4"/>
      <c r="R649" s="4"/>
      <c r="Y649" s="3"/>
      <c r="Z649" s="3"/>
      <c r="AA649" s="3"/>
      <c r="AB649" s="3"/>
    </row>
    <row r="650">
      <c r="A650" s="4"/>
      <c r="B650" s="4"/>
      <c r="C650" s="4"/>
      <c r="D650" s="4"/>
      <c r="E650" s="4"/>
      <c r="F650" s="4"/>
      <c r="G650" s="4"/>
      <c r="H650" s="4"/>
      <c r="I650" s="4"/>
      <c r="J650" s="4"/>
      <c r="K650" s="4"/>
      <c r="L650" s="4"/>
      <c r="M650" s="4"/>
      <c r="N650" s="4"/>
      <c r="O650" s="4"/>
      <c r="P650" s="4"/>
      <c r="Q650" s="4"/>
      <c r="R650" s="4"/>
      <c r="Y650" s="3"/>
      <c r="Z650" s="3"/>
      <c r="AA650" s="3"/>
      <c r="AB650" s="3"/>
    </row>
    <row r="651">
      <c r="A651" s="4"/>
      <c r="B651" s="4"/>
      <c r="C651" s="4"/>
      <c r="D651" s="4"/>
      <c r="E651" s="4"/>
      <c r="F651" s="4"/>
      <c r="G651" s="4"/>
      <c r="H651" s="4"/>
      <c r="I651" s="4"/>
      <c r="J651" s="4"/>
      <c r="K651" s="4"/>
      <c r="L651" s="4"/>
      <c r="M651" s="4"/>
      <c r="N651" s="4"/>
      <c r="O651" s="4"/>
      <c r="P651" s="4"/>
      <c r="Q651" s="4"/>
      <c r="R651" s="4"/>
      <c r="Y651" s="3"/>
      <c r="Z651" s="3"/>
      <c r="AA651" s="3"/>
      <c r="AB651" s="3"/>
    </row>
    <row r="652">
      <c r="A652" s="4"/>
      <c r="B652" s="4"/>
      <c r="C652" s="4"/>
      <c r="D652" s="4"/>
      <c r="E652" s="4"/>
      <c r="F652" s="4"/>
      <c r="G652" s="4"/>
      <c r="H652" s="4"/>
      <c r="I652" s="4"/>
      <c r="J652" s="4"/>
      <c r="K652" s="4"/>
      <c r="L652" s="4"/>
      <c r="M652" s="4"/>
      <c r="N652" s="4"/>
      <c r="O652" s="4"/>
      <c r="P652" s="4"/>
      <c r="Q652" s="4"/>
      <c r="R652" s="4"/>
      <c r="Y652" s="3"/>
      <c r="Z652" s="3"/>
      <c r="AA652" s="3"/>
      <c r="AB652" s="3"/>
    </row>
    <row r="653">
      <c r="A653" s="4"/>
      <c r="B653" s="4"/>
      <c r="C653" s="4"/>
      <c r="D653" s="4"/>
      <c r="E653" s="4"/>
      <c r="F653" s="4"/>
      <c r="G653" s="4"/>
      <c r="H653" s="4"/>
      <c r="I653" s="4"/>
      <c r="J653" s="4"/>
      <c r="K653" s="4"/>
      <c r="L653" s="4"/>
      <c r="M653" s="4"/>
      <c r="N653" s="4"/>
      <c r="O653" s="4"/>
      <c r="P653" s="4"/>
      <c r="Q653" s="4"/>
      <c r="R653" s="4"/>
      <c r="Y653" s="3"/>
      <c r="Z653" s="3"/>
      <c r="AA653" s="3"/>
      <c r="AB653" s="3"/>
    </row>
    <row r="654">
      <c r="A654" s="4"/>
      <c r="B654" s="4"/>
      <c r="C654" s="4"/>
      <c r="D654" s="4"/>
      <c r="E654" s="4"/>
      <c r="F654" s="4"/>
      <c r="G654" s="4"/>
      <c r="H654" s="4"/>
      <c r="I654" s="4"/>
      <c r="J654" s="4"/>
      <c r="K654" s="4"/>
      <c r="L654" s="4"/>
      <c r="M654" s="4"/>
      <c r="N654" s="4"/>
      <c r="O654" s="4"/>
      <c r="P654" s="4"/>
      <c r="Q654" s="4"/>
      <c r="R654" s="4"/>
      <c r="Y654" s="3"/>
      <c r="Z654" s="3"/>
      <c r="AA654" s="3"/>
      <c r="AB654" s="3"/>
    </row>
    <row r="655">
      <c r="A655" s="4"/>
      <c r="B655" s="4"/>
      <c r="C655" s="4"/>
      <c r="D655" s="4"/>
      <c r="E655" s="4"/>
      <c r="F655" s="4"/>
      <c r="G655" s="4"/>
      <c r="H655" s="4"/>
      <c r="I655" s="4"/>
      <c r="J655" s="4"/>
      <c r="K655" s="4"/>
      <c r="L655" s="4"/>
      <c r="M655" s="4"/>
      <c r="N655" s="4"/>
      <c r="O655" s="4"/>
      <c r="P655" s="4"/>
      <c r="Q655" s="4"/>
      <c r="R655" s="4"/>
      <c r="Y655" s="3"/>
      <c r="Z655" s="3"/>
      <c r="AA655" s="3"/>
      <c r="AB655" s="3"/>
    </row>
    <row r="656">
      <c r="A656" s="4"/>
      <c r="B656" s="4"/>
      <c r="C656" s="4"/>
      <c r="D656" s="4"/>
      <c r="E656" s="4"/>
      <c r="F656" s="4"/>
      <c r="G656" s="4"/>
      <c r="H656" s="4"/>
      <c r="I656" s="4"/>
      <c r="J656" s="4"/>
      <c r="K656" s="4"/>
      <c r="L656" s="4"/>
      <c r="M656" s="4"/>
      <c r="N656" s="4"/>
      <c r="O656" s="4"/>
      <c r="P656" s="4"/>
      <c r="Q656" s="4"/>
      <c r="R656" s="4"/>
      <c r="Y656" s="3"/>
      <c r="Z656" s="3"/>
      <c r="AA656" s="3"/>
      <c r="AB656" s="3"/>
    </row>
    <row r="657">
      <c r="A657" s="4"/>
      <c r="B657" s="4"/>
      <c r="C657" s="4"/>
      <c r="D657" s="4"/>
      <c r="E657" s="4"/>
      <c r="F657" s="4"/>
      <c r="G657" s="4"/>
      <c r="H657" s="4"/>
      <c r="I657" s="4"/>
      <c r="J657" s="4"/>
      <c r="K657" s="4"/>
      <c r="L657" s="4"/>
      <c r="M657" s="4"/>
      <c r="N657" s="4"/>
      <c r="O657" s="4"/>
      <c r="P657" s="4"/>
      <c r="Q657" s="4"/>
      <c r="R657" s="4"/>
      <c r="Y657" s="3"/>
      <c r="Z657" s="3"/>
      <c r="AA657" s="3"/>
      <c r="AB657" s="3"/>
    </row>
    <row r="658">
      <c r="A658" s="4"/>
      <c r="B658" s="4"/>
      <c r="C658" s="4"/>
      <c r="D658" s="4"/>
      <c r="E658" s="4"/>
      <c r="F658" s="4"/>
      <c r="G658" s="4"/>
      <c r="H658" s="4"/>
      <c r="I658" s="4"/>
      <c r="J658" s="4"/>
      <c r="K658" s="4"/>
      <c r="L658" s="4"/>
      <c r="M658" s="4"/>
      <c r="N658" s="4"/>
      <c r="O658" s="4"/>
      <c r="P658" s="4"/>
      <c r="Q658" s="4"/>
      <c r="R658" s="4"/>
      <c r="Y658" s="3"/>
      <c r="Z658" s="3"/>
      <c r="AA658" s="3"/>
      <c r="AB658" s="3"/>
    </row>
    <row r="659">
      <c r="A659" s="4"/>
      <c r="B659" s="4"/>
      <c r="C659" s="4"/>
      <c r="D659" s="4"/>
      <c r="E659" s="4"/>
      <c r="F659" s="4"/>
      <c r="G659" s="4"/>
      <c r="H659" s="4"/>
      <c r="I659" s="4"/>
      <c r="J659" s="4"/>
      <c r="K659" s="4"/>
      <c r="L659" s="4"/>
      <c r="M659" s="4"/>
      <c r="N659" s="4"/>
      <c r="O659" s="4"/>
      <c r="P659" s="4"/>
      <c r="Q659" s="4"/>
      <c r="R659" s="4"/>
      <c r="Y659" s="3"/>
      <c r="Z659" s="3"/>
      <c r="AA659" s="3"/>
      <c r="AB659" s="3"/>
    </row>
    <row r="660">
      <c r="A660" s="4"/>
      <c r="B660" s="4"/>
      <c r="C660" s="4"/>
      <c r="D660" s="4"/>
      <c r="E660" s="4"/>
      <c r="F660" s="4"/>
      <c r="G660" s="4"/>
      <c r="H660" s="4"/>
      <c r="I660" s="4"/>
      <c r="J660" s="4"/>
      <c r="K660" s="4"/>
      <c r="L660" s="4"/>
      <c r="M660" s="4"/>
      <c r="N660" s="4"/>
      <c r="O660" s="4"/>
      <c r="P660" s="4"/>
      <c r="Q660" s="4"/>
      <c r="R660" s="4"/>
      <c r="Y660" s="3"/>
      <c r="Z660" s="3"/>
      <c r="AA660" s="3"/>
      <c r="AB660" s="3"/>
    </row>
    <row r="661">
      <c r="A661" s="4"/>
      <c r="B661" s="4"/>
      <c r="C661" s="4"/>
      <c r="D661" s="4"/>
      <c r="E661" s="4"/>
      <c r="F661" s="4"/>
      <c r="G661" s="4"/>
      <c r="H661" s="4"/>
      <c r="I661" s="4"/>
      <c r="J661" s="4"/>
      <c r="K661" s="4"/>
      <c r="L661" s="4"/>
      <c r="M661" s="4"/>
      <c r="N661" s="4"/>
      <c r="O661" s="4"/>
      <c r="P661" s="4"/>
      <c r="Q661" s="4"/>
      <c r="R661" s="4"/>
      <c r="Y661" s="3"/>
      <c r="Z661" s="3"/>
      <c r="AA661" s="3"/>
      <c r="AB661" s="3"/>
    </row>
    <row r="662">
      <c r="A662" s="4"/>
      <c r="B662" s="4"/>
      <c r="C662" s="4"/>
      <c r="D662" s="4"/>
      <c r="E662" s="4"/>
      <c r="F662" s="4"/>
      <c r="G662" s="4"/>
      <c r="H662" s="4"/>
      <c r="I662" s="4"/>
      <c r="J662" s="4"/>
      <c r="K662" s="4"/>
      <c r="L662" s="4"/>
      <c r="M662" s="4"/>
      <c r="N662" s="4"/>
      <c r="O662" s="4"/>
      <c r="P662" s="4"/>
      <c r="Q662" s="4"/>
      <c r="R662" s="4"/>
      <c r="Y662" s="3"/>
      <c r="Z662" s="3"/>
      <c r="AA662" s="3"/>
      <c r="AB662" s="3"/>
    </row>
    <row r="663">
      <c r="A663" s="4"/>
      <c r="B663" s="4"/>
      <c r="C663" s="4"/>
      <c r="D663" s="4"/>
      <c r="E663" s="4"/>
      <c r="F663" s="4"/>
      <c r="G663" s="4"/>
      <c r="H663" s="4"/>
      <c r="I663" s="4"/>
      <c r="J663" s="4"/>
      <c r="K663" s="4"/>
      <c r="L663" s="4"/>
      <c r="M663" s="4"/>
      <c r="N663" s="4"/>
      <c r="O663" s="4"/>
      <c r="P663" s="4"/>
      <c r="Q663" s="4"/>
      <c r="R663" s="4"/>
      <c r="Y663" s="3"/>
      <c r="Z663" s="3"/>
      <c r="AA663" s="3"/>
      <c r="AB663" s="3"/>
    </row>
    <row r="664">
      <c r="A664" s="4"/>
      <c r="B664" s="4"/>
      <c r="C664" s="4"/>
      <c r="D664" s="4"/>
      <c r="E664" s="4"/>
      <c r="F664" s="4"/>
      <c r="G664" s="4"/>
      <c r="H664" s="4"/>
      <c r="I664" s="4"/>
      <c r="J664" s="4"/>
      <c r="K664" s="4"/>
      <c r="L664" s="4"/>
      <c r="M664" s="4"/>
      <c r="N664" s="4"/>
      <c r="O664" s="4"/>
      <c r="P664" s="4"/>
      <c r="Q664" s="4"/>
      <c r="R664" s="4"/>
      <c r="Y664" s="3"/>
      <c r="Z664" s="3"/>
      <c r="AA664" s="3"/>
      <c r="AB664" s="3"/>
    </row>
    <row r="665">
      <c r="A665" s="4"/>
      <c r="B665" s="4"/>
      <c r="C665" s="4"/>
      <c r="D665" s="4"/>
      <c r="E665" s="4"/>
      <c r="F665" s="4"/>
      <c r="G665" s="4"/>
      <c r="H665" s="4"/>
      <c r="I665" s="4"/>
      <c r="J665" s="4"/>
      <c r="K665" s="4"/>
      <c r="L665" s="4"/>
      <c r="M665" s="4"/>
      <c r="N665" s="4"/>
      <c r="O665" s="4"/>
      <c r="P665" s="4"/>
      <c r="Q665" s="4"/>
      <c r="R665" s="4"/>
      <c r="Y665" s="3"/>
      <c r="Z665" s="3"/>
      <c r="AA665" s="3"/>
      <c r="AB665" s="3"/>
    </row>
    <row r="666">
      <c r="A666" s="4"/>
      <c r="B666" s="4"/>
      <c r="C666" s="4"/>
      <c r="D666" s="4"/>
      <c r="E666" s="4"/>
      <c r="F666" s="4"/>
      <c r="G666" s="4"/>
      <c r="H666" s="4"/>
      <c r="I666" s="4"/>
      <c r="J666" s="4"/>
      <c r="K666" s="4"/>
      <c r="L666" s="4"/>
      <c r="M666" s="4"/>
      <c r="N666" s="4"/>
      <c r="O666" s="4"/>
      <c r="P666" s="4"/>
      <c r="Q666" s="4"/>
      <c r="R666" s="4"/>
      <c r="Y666" s="3"/>
      <c r="Z666" s="3"/>
      <c r="AA666" s="3"/>
      <c r="AB666" s="3"/>
    </row>
    <row r="667">
      <c r="A667" s="4"/>
      <c r="B667" s="4"/>
      <c r="C667" s="4"/>
      <c r="D667" s="4"/>
      <c r="E667" s="4"/>
      <c r="F667" s="4"/>
      <c r="G667" s="4"/>
      <c r="H667" s="4"/>
      <c r="I667" s="4"/>
      <c r="J667" s="4"/>
      <c r="K667" s="4"/>
      <c r="L667" s="4"/>
      <c r="M667" s="4"/>
      <c r="N667" s="4"/>
      <c r="O667" s="4"/>
      <c r="P667" s="4"/>
      <c r="Q667" s="4"/>
      <c r="R667" s="4"/>
      <c r="Y667" s="3"/>
      <c r="Z667" s="3"/>
      <c r="AA667" s="3"/>
      <c r="AB667" s="3"/>
    </row>
    <row r="668">
      <c r="A668" s="4"/>
      <c r="B668" s="4"/>
      <c r="C668" s="4"/>
      <c r="D668" s="4"/>
      <c r="E668" s="4"/>
      <c r="F668" s="4"/>
      <c r="G668" s="4"/>
      <c r="H668" s="4"/>
      <c r="I668" s="4"/>
      <c r="J668" s="4"/>
      <c r="K668" s="4"/>
      <c r="L668" s="4"/>
      <c r="M668" s="4"/>
      <c r="N668" s="4"/>
      <c r="O668" s="4"/>
      <c r="P668" s="4"/>
      <c r="Q668" s="4"/>
      <c r="R668" s="4"/>
      <c r="Y668" s="3"/>
      <c r="Z668" s="3"/>
      <c r="AA668" s="3"/>
      <c r="AB668" s="3"/>
    </row>
    <row r="669">
      <c r="A669" s="4"/>
      <c r="B669" s="4"/>
      <c r="C669" s="4"/>
      <c r="D669" s="4"/>
      <c r="E669" s="4"/>
      <c r="F669" s="4"/>
      <c r="G669" s="4"/>
      <c r="H669" s="4"/>
      <c r="I669" s="4"/>
      <c r="J669" s="4"/>
      <c r="K669" s="4"/>
      <c r="L669" s="4"/>
      <c r="M669" s="4"/>
      <c r="N669" s="4"/>
      <c r="O669" s="4"/>
      <c r="P669" s="4"/>
      <c r="Q669" s="4"/>
      <c r="R669" s="4"/>
      <c r="Y669" s="3"/>
      <c r="Z669" s="3"/>
      <c r="AA669" s="3"/>
      <c r="AB669" s="3"/>
    </row>
    <row r="670">
      <c r="A670" s="4"/>
      <c r="B670" s="4"/>
      <c r="C670" s="4"/>
      <c r="D670" s="4"/>
      <c r="E670" s="4"/>
      <c r="F670" s="4"/>
      <c r="G670" s="4"/>
      <c r="H670" s="4"/>
      <c r="I670" s="4"/>
      <c r="J670" s="4"/>
      <c r="K670" s="4"/>
      <c r="L670" s="4"/>
      <c r="M670" s="4"/>
      <c r="N670" s="4"/>
      <c r="O670" s="4"/>
      <c r="P670" s="4"/>
      <c r="Q670" s="4"/>
      <c r="R670" s="4"/>
      <c r="Y670" s="3"/>
      <c r="Z670" s="3"/>
      <c r="AA670" s="3"/>
      <c r="AB670" s="3"/>
    </row>
    <row r="671">
      <c r="A671" s="4"/>
      <c r="B671" s="4"/>
      <c r="C671" s="4"/>
      <c r="D671" s="4"/>
      <c r="E671" s="4"/>
      <c r="F671" s="4"/>
      <c r="G671" s="4"/>
      <c r="H671" s="4"/>
      <c r="I671" s="4"/>
      <c r="J671" s="4"/>
      <c r="K671" s="4"/>
      <c r="L671" s="4"/>
      <c r="M671" s="4"/>
      <c r="N671" s="4"/>
      <c r="O671" s="4"/>
      <c r="P671" s="4"/>
      <c r="Q671" s="4"/>
      <c r="R671" s="4"/>
      <c r="Y671" s="3"/>
      <c r="Z671" s="3"/>
      <c r="AA671" s="3"/>
      <c r="AB671" s="3"/>
    </row>
    <row r="672">
      <c r="A672" s="4"/>
      <c r="B672" s="4"/>
      <c r="C672" s="4"/>
      <c r="D672" s="4"/>
      <c r="E672" s="4"/>
      <c r="F672" s="4"/>
      <c r="G672" s="4"/>
      <c r="H672" s="4"/>
      <c r="I672" s="4"/>
      <c r="J672" s="4"/>
      <c r="K672" s="4"/>
      <c r="L672" s="4"/>
      <c r="M672" s="4"/>
      <c r="N672" s="4"/>
      <c r="O672" s="4"/>
      <c r="P672" s="4"/>
      <c r="Q672" s="4"/>
      <c r="R672" s="4"/>
      <c r="Y672" s="3"/>
      <c r="Z672" s="3"/>
      <c r="AA672" s="3"/>
      <c r="AB672" s="3"/>
    </row>
    <row r="673">
      <c r="A673" s="4"/>
      <c r="B673" s="4"/>
      <c r="C673" s="4"/>
      <c r="D673" s="4"/>
      <c r="E673" s="4"/>
      <c r="F673" s="4"/>
      <c r="G673" s="4"/>
      <c r="H673" s="4"/>
      <c r="I673" s="4"/>
      <c r="J673" s="4"/>
      <c r="K673" s="4"/>
      <c r="L673" s="4"/>
      <c r="M673" s="4"/>
      <c r="N673" s="4"/>
      <c r="O673" s="4"/>
      <c r="P673" s="4"/>
      <c r="Q673" s="4"/>
      <c r="R673" s="4"/>
      <c r="Y673" s="3"/>
      <c r="Z673" s="3"/>
      <c r="AA673" s="3"/>
      <c r="AB673" s="3"/>
    </row>
    <row r="674">
      <c r="A674" s="4"/>
      <c r="B674" s="4"/>
      <c r="C674" s="4"/>
      <c r="D674" s="4"/>
      <c r="E674" s="4"/>
      <c r="F674" s="4"/>
      <c r="G674" s="4"/>
      <c r="H674" s="4"/>
      <c r="I674" s="4"/>
      <c r="J674" s="4"/>
      <c r="K674" s="4"/>
      <c r="L674" s="4"/>
      <c r="M674" s="4"/>
      <c r="N674" s="4"/>
      <c r="O674" s="4"/>
      <c r="P674" s="4"/>
      <c r="Q674" s="4"/>
      <c r="R674" s="4"/>
      <c r="Y674" s="3"/>
      <c r="Z674" s="3"/>
      <c r="AA674" s="3"/>
      <c r="AB674" s="3"/>
    </row>
    <row r="675">
      <c r="A675" s="4"/>
      <c r="B675" s="4"/>
      <c r="C675" s="4"/>
      <c r="D675" s="4"/>
      <c r="E675" s="4"/>
      <c r="F675" s="4"/>
      <c r="G675" s="4"/>
      <c r="H675" s="4"/>
      <c r="I675" s="4"/>
      <c r="J675" s="4"/>
      <c r="K675" s="4"/>
      <c r="L675" s="4"/>
      <c r="M675" s="4"/>
      <c r="N675" s="4"/>
      <c r="O675" s="4"/>
      <c r="P675" s="4"/>
      <c r="Q675" s="4"/>
      <c r="R675" s="4"/>
      <c r="Y675" s="3"/>
      <c r="Z675" s="3"/>
      <c r="AA675" s="3"/>
      <c r="AB675" s="3"/>
    </row>
    <row r="676">
      <c r="Y676" s="3"/>
      <c r="Z676" s="3"/>
      <c r="AA676" s="3"/>
      <c r="AB676" s="3"/>
    </row>
    <row r="677">
      <c r="Y677" s="3"/>
      <c r="Z677" s="3"/>
      <c r="AA677" s="3"/>
      <c r="AB677" s="3"/>
    </row>
    <row r="678">
      <c r="Y678" s="3"/>
      <c r="Z678" s="3"/>
      <c r="AA678" s="3"/>
      <c r="AB678" s="3"/>
    </row>
    <row r="679">
      <c r="Y679" s="3"/>
      <c r="Z679" s="3"/>
      <c r="AA679" s="3"/>
      <c r="AB679" s="3"/>
    </row>
    <row r="680">
      <c r="Y680" s="3"/>
      <c r="Z680" s="3"/>
      <c r="AA680" s="3"/>
      <c r="AB680" s="3"/>
    </row>
    <row r="681">
      <c r="Y681" s="3"/>
      <c r="Z681" s="3"/>
      <c r="AA681" s="3"/>
      <c r="AB681" s="3"/>
    </row>
    <row r="682">
      <c r="Y682" s="3"/>
      <c r="Z682" s="3"/>
      <c r="AA682" s="3"/>
      <c r="AB682" s="3"/>
    </row>
    <row r="683">
      <c r="Y683" s="3"/>
      <c r="Z683" s="3"/>
      <c r="AA683" s="3"/>
      <c r="AB683" s="3"/>
    </row>
    <row r="684">
      <c r="Y684" s="3"/>
      <c r="Z684" s="3"/>
      <c r="AA684" s="3"/>
      <c r="AB684" s="3"/>
    </row>
    <row r="685">
      <c r="Y685" s="3"/>
      <c r="Z685" s="3"/>
      <c r="AA685" s="3"/>
      <c r="AB685" s="3"/>
    </row>
    <row r="686">
      <c r="Y686" s="3"/>
      <c r="Z686" s="3"/>
      <c r="AA686" s="3"/>
      <c r="AB686" s="3"/>
    </row>
    <row r="687">
      <c r="Y687" s="3"/>
      <c r="Z687" s="3"/>
      <c r="AA687" s="3"/>
      <c r="AB687" s="3"/>
    </row>
    <row r="688">
      <c r="Y688" s="3"/>
      <c r="Z688" s="3"/>
      <c r="AA688" s="3"/>
      <c r="AB688" s="3"/>
    </row>
    <row r="689">
      <c r="Y689" s="3"/>
      <c r="Z689" s="3"/>
      <c r="AA689" s="3"/>
      <c r="AB689" s="3"/>
    </row>
    <row r="690">
      <c r="Y690" s="3"/>
      <c r="Z690" s="3"/>
      <c r="AA690" s="3"/>
      <c r="AB690" s="3"/>
    </row>
    <row r="691">
      <c r="Y691" s="3"/>
      <c r="Z691" s="3"/>
      <c r="AA691" s="3"/>
      <c r="AB691" s="3"/>
    </row>
    <row r="692">
      <c r="Y692" s="3"/>
      <c r="Z692" s="3"/>
      <c r="AA692" s="3"/>
      <c r="AB692" s="3"/>
    </row>
    <row r="693">
      <c r="Y693" s="3"/>
      <c r="Z693" s="3"/>
      <c r="AA693" s="3"/>
      <c r="AB693" s="3"/>
    </row>
    <row r="694">
      <c r="Y694" s="3"/>
      <c r="Z694" s="3"/>
      <c r="AA694" s="3"/>
      <c r="AB694" s="3"/>
    </row>
    <row r="695">
      <c r="Y695" s="3"/>
      <c r="Z695" s="3"/>
      <c r="AA695" s="3"/>
      <c r="AB695" s="3"/>
    </row>
    <row r="696">
      <c r="Y696" s="3"/>
      <c r="Z696" s="3"/>
      <c r="AA696" s="3"/>
      <c r="AB696" s="3"/>
    </row>
    <row r="697">
      <c r="Y697" s="3"/>
      <c r="Z697" s="3"/>
      <c r="AA697" s="3"/>
      <c r="AB697" s="3"/>
    </row>
    <row r="698">
      <c r="Y698" s="3"/>
      <c r="Z698" s="3"/>
      <c r="AA698" s="3"/>
      <c r="AB698" s="3"/>
    </row>
    <row r="699">
      <c r="Y699" s="3"/>
      <c r="Z699" s="3"/>
      <c r="AA699" s="3"/>
      <c r="AB699" s="3"/>
    </row>
    <row r="700">
      <c r="Y700" s="3"/>
      <c r="Z700" s="3"/>
      <c r="AA700" s="3"/>
      <c r="AB700" s="3"/>
    </row>
    <row r="701">
      <c r="Y701" s="3"/>
      <c r="Z701" s="3"/>
      <c r="AA701" s="3"/>
      <c r="AB701" s="3"/>
    </row>
    <row r="702">
      <c r="Y702" s="3"/>
      <c r="Z702" s="3"/>
      <c r="AA702" s="3"/>
      <c r="AB702" s="3"/>
    </row>
    <row r="703">
      <c r="Y703" s="3"/>
      <c r="Z703" s="3"/>
      <c r="AA703" s="3"/>
      <c r="AB703" s="3"/>
    </row>
    <row r="704">
      <c r="Y704" s="3"/>
      <c r="Z704" s="3"/>
      <c r="AA704" s="3"/>
      <c r="AB704" s="3"/>
    </row>
    <row r="705">
      <c r="Y705" s="3"/>
      <c r="Z705" s="3"/>
      <c r="AA705" s="3"/>
      <c r="AB705" s="3"/>
    </row>
    <row r="706">
      <c r="Y706" s="3"/>
      <c r="Z706" s="3"/>
      <c r="AA706" s="3"/>
      <c r="AB706" s="3"/>
    </row>
    <row r="707">
      <c r="Y707" s="3"/>
      <c r="Z707" s="3"/>
      <c r="AA707" s="3"/>
      <c r="AB707" s="3"/>
    </row>
    <row r="708">
      <c r="Y708" s="3"/>
      <c r="Z708" s="3"/>
      <c r="AA708" s="3"/>
      <c r="AB708" s="3"/>
    </row>
    <row r="709">
      <c r="Y709" s="3"/>
      <c r="Z709" s="3"/>
      <c r="AA709" s="3"/>
      <c r="AB709" s="3"/>
    </row>
    <row r="710">
      <c r="Y710" s="3"/>
      <c r="Z710" s="3"/>
      <c r="AA710" s="3"/>
      <c r="AB710" s="3"/>
    </row>
    <row r="711">
      <c r="Y711" s="3"/>
      <c r="Z711" s="3"/>
      <c r="AA711" s="3"/>
      <c r="AB711" s="3"/>
    </row>
    <row r="712">
      <c r="Y712" s="3"/>
      <c r="Z712" s="3"/>
      <c r="AA712" s="3"/>
      <c r="AB712" s="3"/>
    </row>
    <row r="713">
      <c r="Y713" s="3"/>
      <c r="Z713" s="3"/>
      <c r="AA713" s="3"/>
      <c r="AB713" s="3"/>
    </row>
    <row r="714">
      <c r="Y714" s="3"/>
      <c r="Z714" s="3"/>
      <c r="AA714" s="3"/>
      <c r="AB714" s="3"/>
    </row>
    <row r="715">
      <c r="Y715" s="3"/>
      <c r="Z715" s="3"/>
      <c r="AA715" s="3"/>
      <c r="AB715" s="3"/>
    </row>
    <row r="716">
      <c r="Y716" s="3"/>
      <c r="Z716" s="3"/>
      <c r="AA716" s="3"/>
      <c r="AB716" s="3"/>
    </row>
    <row r="717">
      <c r="Y717" s="3"/>
      <c r="Z717" s="3"/>
      <c r="AA717" s="3"/>
      <c r="AB717" s="3"/>
    </row>
    <row r="718">
      <c r="Y718" s="3"/>
      <c r="Z718" s="3"/>
      <c r="AA718" s="3"/>
      <c r="AB718" s="3"/>
    </row>
    <row r="719">
      <c r="Y719" s="3"/>
      <c r="Z719" s="3"/>
      <c r="AA719" s="3"/>
      <c r="AB719" s="3"/>
    </row>
    <row r="720">
      <c r="Y720" s="3"/>
      <c r="Z720" s="3"/>
      <c r="AA720" s="3"/>
      <c r="AB720" s="3"/>
    </row>
    <row r="721">
      <c r="Y721" s="3"/>
      <c r="Z721" s="3"/>
      <c r="AA721" s="3"/>
      <c r="AB721" s="3"/>
    </row>
    <row r="722">
      <c r="Y722" s="3"/>
      <c r="Z722" s="3"/>
      <c r="AA722" s="3"/>
      <c r="AB722" s="3"/>
    </row>
    <row r="723">
      <c r="Y723" s="3"/>
      <c r="Z723" s="3"/>
      <c r="AA723" s="3"/>
      <c r="AB723" s="3"/>
    </row>
    <row r="724">
      <c r="Y724" s="3"/>
      <c r="Z724" s="3"/>
      <c r="AA724" s="3"/>
      <c r="AB724" s="3"/>
    </row>
    <row r="725">
      <c r="Y725" s="3"/>
      <c r="Z725" s="3"/>
      <c r="AA725" s="3"/>
      <c r="AB725" s="3"/>
    </row>
    <row r="726">
      <c r="Y726" s="3"/>
      <c r="Z726" s="3"/>
      <c r="AA726" s="3"/>
      <c r="AB726" s="3"/>
    </row>
    <row r="727">
      <c r="Y727" s="3"/>
      <c r="Z727" s="3"/>
      <c r="AA727" s="3"/>
      <c r="AB727" s="3"/>
    </row>
    <row r="728">
      <c r="Y728" s="3"/>
      <c r="Z728" s="3"/>
      <c r="AA728" s="3"/>
      <c r="AB728" s="3"/>
    </row>
    <row r="729">
      <c r="Y729" s="3"/>
      <c r="Z729" s="3"/>
      <c r="AA729" s="3"/>
      <c r="AB729" s="3"/>
    </row>
    <row r="730">
      <c r="Y730" s="3"/>
      <c r="Z730" s="3"/>
      <c r="AA730" s="3"/>
      <c r="AB730" s="3"/>
    </row>
    <row r="731">
      <c r="Y731" s="3"/>
      <c r="Z731" s="3"/>
      <c r="AA731" s="3"/>
      <c r="AB731" s="3"/>
    </row>
    <row r="732">
      <c r="Y732" s="3"/>
      <c r="Z732" s="3"/>
      <c r="AA732" s="3"/>
      <c r="AB732" s="3"/>
    </row>
    <row r="733">
      <c r="Y733" s="3"/>
      <c r="Z733" s="3"/>
      <c r="AA733" s="3"/>
      <c r="AB733" s="3"/>
    </row>
    <row r="734">
      <c r="Y734" s="3"/>
      <c r="Z734" s="3"/>
      <c r="AA734" s="3"/>
      <c r="AB734" s="3"/>
    </row>
    <row r="735">
      <c r="Y735" s="3"/>
      <c r="Z735" s="3"/>
      <c r="AA735" s="3"/>
      <c r="AB735" s="3"/>
    </row>
    <row r="736">
      <c r="Y736" s="3"/>
      <c r="Z736" s="3"/>
      <c r="AA736" s="3"/>
      <c r="AB736" s="3"/>
    </row>
    <row r="737">
      <c r="Y737" s="3"/>
      <c r="Z737" s="3"/>
      <c r="AA737" s="3"/>
      <c r="AB737" s="3"/>
    </row>
    <row r="738">
      <c r="Y738" s="3"/>
      <c r="Z738" s="3"/>
      <c r="AA738" s="3"/>
      <c r="AB738" s="3"/>
    </row>
    <row r="739">
      <c r="Y739" s="3"/>
      <c r="Z739" s="3"/>
      <c r="AA739" s="3"/>
      <c r="AB739" s="3"/>
    </row>
    <row r="740">
      <c r="Y740" s="3"/>
      <c r="Z740" s="3"/>
      <c r="AA740" s="3"/>
      <c r="AB740" s="3"/>
    </row>
    <row r="741">
      <c r="Y741" s="3"/>
      <c r="Z741" s="3"/>
      <c r="AA741" s="3"/>
      <c r="AB741" s="3"/>
    </row>
    <row r="742">
      <c r="Y742" s="3"/>
      <c r="Z742" s="3"/>
      <c r="AA742" s="3"/>
      <c r="AB742" s="3"/>
    </row>
    <row r="743">
      <c r="Y743" s="3"/>
      <c r="Z743" s="3"/>
      <c r="AA743" s="3"/>
      <c r="AB743" s="3"/>
    </row>
    <row r="744">
      <c r="Y744" s="3"/>
      <c r="Z744" s="3"/>
      <c r="AA744" s="3"/>
      <c r="AB744" s="3"/>
    </row>
    <row r="745">
      <c r="Y745" s="3"/>
      <c r="Z745" s="3"/>
      <c r="AA745" s="3"/>
      <c r="AB745" s="3"/>
    </row>
    <row r="746">
      <c r="Y746" s="3"/>
      <c r="Z746" s="3"/>
      <c r="AA746" s="3"/>
      <c r="AB746" s="3"/>
    </row>
    <row r="747">
      <c r="Y747" s="3"/>
      <c r="Z747" s="3"/>
      <c r="AA747" s="3"/>
      <c r="AB747" s="3"/>
    </row>
    <row r="748">
      <c r="Y748" s="3"/>
      <c r="Z748" s="3"/>
      <c r="AA748" s="3"/>
      <c r="AB748" s="3"/>
    </row>
    <row r="749">
      <c r="Y749" s="3"/>
      <c r="Z749" s="3"/>
      <c r="AA749" s="3"/>
      <c r="AB749" s="3"/>
    </row>
    <row r="750">
      <c r="Y750" s="3"/>
      <c r="Z750" s="3"/>
      <c r="AA750" s="3"/>
      <c r="AB750" s="3"/>
    </row>
    <row r="751">
      <c r="Y751" s="3"/>
      <c r="Z751" s="3"/>
      <c r="AA751" s="3"/>
      <c r="AB751" s="3"/>
    </row>
    <row r="752">
      <c r="Y752" s="3"/>
      <c r="Z752" s="3"/>
      <c r="AA752" s="3"/>
      <c r="AB752" s="3"/>
    </row>
    <row r="753">
      <c r="Y753" s="3"/>
      <c r="Z753" s="3"/>
      <c r="AA753" s="3"/>
      <c r="AB753" s="3"/>
    </row>
    <row r="754">
      <c r="Y754" s="3"/>
      <c r="Z754" s="3"/>
      <c r="AA754" s="3"/>
      <c r="AB754" s="3"/>
    </row>
    <row r="755">
      <c r="Y755" s="3"/>
      <c r="Z755" s="3"/>
      <c r="AA755" s="3"/>
      <c r="AB755" s="3"/>
    </row>
    <row r="756">
      <c r="Y756" s="3"/>
      <c r="Z756" s="3"/>
      <c r="AA756" s="3"/>
      <c r="AB756" s="3"/>
    </row>
    <row r="757">
      <c r="Y757" s="3"/>
      <c r="Z757" s="3"/>
      <c r="AA757" s="3"/>
      <c r="AB757" s="3"/>
    </row>
    <row r="758">
      <c r="Y758" s="3"/>
      <c r="Z758" s="3"/>
      <c r="AA758" s="3"/>
      <c r="AB758" s="3"/>
    </row>
    <row r="759">
      <c r="Y759" s="3"/>
      <c r="Z759" s="3"/>
      <c r="AA759" s="3"/>
      <c r="AB759" s="3"/>
    </row>
    <row r="760">
      <c r="Y760" s="3"/>
      <c r="Z760" s="3"/>
      <c r="AA760" s="3"/>
      <c r="AB760" s="3"/>
    </row>
    <row r="761">
      <c r="Y761" s="3"/>
      <c r="Z761" s="3"/>
      <c r="AA761" s="3"/>
      <c r="AB761" s="3"/>
    </row>
    <row r="762">
      <c r="Y762" s="3"/>
      <c r="Z762" s="3"/>
      <c r="AA762" s="3"/>
      <c r="AB762" s="3"/>
    </row>
    <row r="763">
      <c r="Y763" s="3"/>
      <c r="Z763" s="3"/>
      <c r="AA763" s="3"/>
      <c r="AB763" s="3"/>
    </row>
    <row r="764">
      <c r="Y764" s="3"/>
      <c r="Z764" s="3"/>
      <c r="AA764" s="3"/>
      <c r="AB764" s="3"/>
    </row>
    <row r="765">
      <c r="Y765" s="3"/>
      <c r="Z765" s="3"/>
      <c r="AA765" s="3"/>
      <c r="AB765" s="3"/>
    </row>
    <row r="766">
      <c r="Y766" s="3"/>
      <c r="Z766" s="3"/>
      <c r="AA766" s="3"/>
      <c r="AB766" s="3"/>
    </row>
    <row r="767">
      <c r="Y767" s="3"/>
      <c r="Z767" s="3"/>
      <c r="AA767" s="3"/>
      <c r="AB767" s="3"/>
    </row>
    <row r="768">
      <c r="Y768" s="3"/>
      <c r="Z768" s="3"/>
      <c r="AA768" s="3"/>
      <c r="AB768" s="3"/>
    </row>
    <row r="769">
      <c r="Y769" s="3"/>
      <c r="Z769" s="3"/>
      <c r="AA769" s="3"/>
      <c r="AB769" s="3"/>
    </row>
    <row r="770">
      <c r="Y770" s="3"/>
      <c r="Z770" s="3"/>
      <c r="AA770" s="3"/>
      <c r="AB770" s="3"/>
    </row>
    <row r="771">
      <c r="Y771" s="3"/>
      <c r="Z771" s="3"/>
      <c r="AA771" s="3"/>
      <c r="AB771" s="3"/>
    </row>
    <row r="772">
      <c r="Y772" s="3"/>
      <c r="Z772" s="3"/>
      <c r="AA772" s="3"/>
      <c r="AB772" s="3"/>
    </row>
    <row r="773">
      <c r="Y773" s="3"/>
      <c r="Z773" s="3"/>
      <c r="AA773" s="3"/>
      <c r="AB773" s="3"/>
    </row>
    <row r="774">
      <c r="Y774" s="3"/>
      <c r="Z774" s="3"/>
      <c r="AA774" s="3"/>
      <c r="AB774" s="3"/>
    </row>
    <row r="775">
      <c r="Y775" s="3"/>
      <c r="Z775" s="3"/>
      <c r="AA775" s="3"/>
      <c r="AB775" s="3"/>
    </row>
    <row r="776">
      <c r="Y776" s="3"/>
      <c r="Z776" s="3"/>
      <c r="AA776" s="3"/>
      <c r="AB776" s="3"/>
    </row>
    <row r="777">
      <c r="Y777" s="3"/>
      <c r="Z777" s="3"/>
      <c r="AA777" s="3"/>
      <c r="AB777" s="3"/>
    </row>
    <row r="778">
      <c r="Y778" s="3"/>
      <c r="Z778" s="3"/>
      <c r="AA778" s="3"/>
      <c r="AB778" s="3"/>
    </row>
    <row r="779">
      <c r="Y779" s="3"/>
      <c r="Z779" s="3"/>
      <c r="AA779" s="3"/>
      <c r="AB779" s="3"/>
    </row>
    <row r="780">
      <c r="Y780" s="3"/>
      <c r="Z780" s="3"/>
      <c r="AA780" s="3"/>
      <c r="AB780" s="3"/>
    </row>
    <row r="781">
      <c r="Y781" s="3"/>
      <c r="Z781" s="3"/>
      <c r="AA781" s="3"/>
      <c r="AB781" s="3"/>
    </row>
    <row r="782">
      <c r="Y782" s="3"/>
      <c r="Z782" s="3"/>
      <c r="AA782" s="3"/>
      <c r="AB782" s="3"/>
    </row>
    <row r="783">
      <c r="Y783" s="3"/>
      <c r="Z783" s="3"/>
      <c r="AA783" s="3"/>
      <c r="AB783" s="3"/>
    </row>
    <row r="784">
      <c r="Y784" s="3"/>
      <c r="Z784" s="3"/>
      <c r="AA784" s="3"/>
      <c r="AB784" s="3"/>
    </row>
    <row r="785">
      <c r="Y785" s="3"/>
      <c r="Z785" s="3"/>
      <c r="AA785" s="3"/>
      <c r="AB785" s="3"/>
    </row>
    <row r="786">
      <c r="Y786" s="3"/>
      <c r="Z786" s="3"/>
      <c r="AA786" s="3"/>
      <c r="AB786" s="3"/>
    </row>
    <row r="787">
      <c r="Y787" s="3"/>
      <c r="Z787" s="3"/>
      <c r="AA787" s="3"/>
      <c r="AB787" s="3"/>
    </row>
    <row r="788">
      <c r="Y788" s="3"/>
      <c r="Z788" s="3"/>
      <c r="AA788" s="3"/>
      <c r="AB788" s="3"/>
    </row>
    <row r="789">
      <c r="Y789" s="3"/>
      <c r="Z789" s="3"/>
      <c r="AA789" s="3"/>
      <c r="AB789" s="3"/>
    </row>
    <row r="790">
      <c r="Y790" s="3"/>
      <c r="Z790" s="3"/>
      <c r="AA790" s="3"/>
      <c r="AB790" s="3"/>
    </row>
    <row r="791">
      <c r="Y791" s="3"/>
      <c r="Z791" s="3"/>
      <c r="AA791" s="3"/>
      <c r="AB791" s="3"/>
    </row>
    <row r="792">
      <c r="Y792" s="3"/>
      <c r="Z792" s="3"/>
      <c r="AA792" s="3"/>
      <c r="AB792" s="3"/>
    </row>
    <row r="793">
      <c r="Y793" s="3"/>
      <c r="Z793" s="3"/>
      <c r="AA793" s="3"/>
      <c r="AB793" s="3"/>
    </row>
    <row r="794">
      <c r="Y794" s="3"/>
      <c r="Z794" s="3"/>
      <c r="AA794" s="3"/>
      <c r="AB794" s="3"/>
    </row>
    <row r="795">
      <c r="Y795" s="3"/>
      <c r="Z795" s="3"/>
      <c r="AA795" s="3"/>
      <c r="AB795" s="3"/>
    </row>
    <row r="796">
      <c r="Y796" s="3"/>
      <c r="Z796" s="3"/>
      <c r="AA796" s="3"/>
      <c r="AB796" s="3"/>
    </row>
    <row r="797">
      <c r="Y797" s="3"/>
      <c r="Z797" s="3"/>
      <c r="AA797" s="3"/>
      <c r="AB797" s="3"/>
    </row>
    <row r="798">
      <c r="Y798" s="3"/>
      <c r="Z798" s="3"/>
      <c r="AA798" s="3"/>
      <c r="AB798" s="3"/>
    </row>
    <row r="799">
      <c r="Y799" s="3"/>
      <c r="Z799" s="3"/>
      <c r="AA799" s="3"/>
      <c r="AB799" s="3"/>
    </row>
    <row r="800">
      <c r="Y800" s="3"/>
      <c r="Z800" s="3"/>
      <c r="AA800" s="3"/>
      <c r="AB800" s="3"/>
    </row>
    <row r="801">
      <c r="Y801" s="3"/>
      <c r="Z801" s="3"/>
      <c r="AA801" s="3"/>
      <c r="AB801" s="3"/>
    </row>
    <row r="802">
      <c r="Y802" s="3"/>
      <c r="Z802" s="3"/>
      <c r="AA802" s="3"/>
      <c r="AB802" s="3"/>
    </row>
    <row r="803">
      <c r="Y803" s="3"/>
      <c r="Z803" s="3"/>
      <c r="AA803" s="3"/>
      <c r="AB803" s="3"/>
    </row>
    <row r="804">
      <c r="Y804" s="3"/>
      <c r="Z804" s="3"/>
      <c r="AA804" s="3"/>
      <c r="AB804" s="3"/>
    </row>
    <row r="805">
      <c r="Y805" s="3"/>
      <c r="Z805" s="3"/>
      <c r="AA805" s="3"/>
      <c r="AB805" s="3"/>
    </row>
    <row r="806">
      <c r="Y806" s="3"/>
      <c r="Z806" s="3"/>
      <c r="AA806" s="3"/>
      <c r="AB806" s="3"/>
    </row>
    <row r="807">
      <c r="Y807" s="3"/>
      <c r="Z807" s="3"/>
      <c r="AA807" s="3"/>
      <c r="AB807" s="3"/>
    </row>
    <row r="808">
      <c r="Y808" s="3"/>
      <c r="Z808" s="3"/>
      <c r="AA808" s="3"/>
      <c r="AB808" s="3"/>
    </row>
    <row r="809">
      <c r="Y809" s="3"/>
      <c r="Z809" s="3"/>
      <c r="AA809" s="3"/>
      <c r="AB809" s="3"/>
    </row>
    <row r="810">
      <c r="Y810" s="3"/>
      <c r="Z810" s="3"/>
      <c r="AA810" s="3"/>
      <c r="AB810" s="3"/>
    </row>
    <row r="811">
      <c r="Y811" s="3"/>
      <c r="Z811" s="3"/>
      <c r="AA811" s="3"/>
      <c r="AB811" s="3"/>
    </row>
    <row r="812">
      <c r="Y812" s="3"/>
      <c r="Z812" s="3"/>
      <c r="AA812" s="3"/>
      <c r="AB812" s="3"/>
    </row>
    <row r="813">
      <c r="Y813" s="3"/>
      <c r="Z813" s="3"/>
      <c r="AA813" s="3"/>
      <c r="AB813" s="3"/>
    </row>
    <row r="814">
      <c r="Y814" s="3"/>
      <c r="Z814" s="3"/>
      <c r="AA814" s="3"/>
      <c r="AB814" s="3"/>
    </row>
    <row r="815">
      <c r="Y815" s="3"/>
      <c r="Z815" s="3"/>
      <c r="AA815" s="3"/>
      <c r="AB815" s="3"/>
    </row>
    <row r="816">
      <c r="Y816" s="3"/>
      <c r="Z816" s="3"/>
      <c r="AA816" s="3"/>
      <c r="AB816" s="3"/>
    </row>
    <row r="817">
      <c r="Y817" s="3"/>
      <c r="Z817" s="3"/>
      <c r="AA817" s="3"/>
      <c r="AB817" s="3"/>
    </row>
    <row r="818">
      <c r="Y818" s="3"/>
      <c r="Z818" s="3"/>
      <c r="AA818" s="3"/>
      <c r="AB818" s="3"/>
    </row>
    <row r="819">
      <c r="Y819" s="3"/>
      <c r="Z819" s="3"/>
      <c r="AA819" s="3"/>
      <c r="AB819" s="3"/>
    </row>
    <row r="820">
      <c r="Y820" s="3"/>
      <c r="Z820" s="3"/>
      <c r="AA820" s="3"/>
      <c r="AB820" s="3"/>
    </row>
    <row r="821">
      <c r="Y821" s="3"/>
      <c r="Z821" s="3"/>
      <c r="AA821" s="3"/>
      <c r="AB821" s="3"/>
    </row>
    <row r="822">
      <c r="Y822" s="3"/>
      <c r="Z822" s="3"/>
      <c r="AA822" s="3"/>
      <c r="AB822" s="3"/>
    </row>
    <row r="823">
      <c r="Y823" s="3"/>
      <c r="Z823" s="3"/>
      <c r="AA823" s="3"/>
      <c r="AB823" s="3"/>
    </row>
    <row r="824">
      <c r="Y824" s="3"/>
      <c r="Z824" s="3"/>
      <c r="AA824" s="3"/>
      <c r="AB824" s="3"/>
    </row>
    <row r="825">
      <c r="Y825" s="3"/>
      <c r="Z825" s="3"/>
      <c r="AA825" s="3"/>
      <c r="AB825" s="3"/>
    </row>
    <row r="826">
      <c r="Y826" s="3"/>
      <c r="Z826" s="3"/>
      <c r="AA826" s="3"/>
      <c r="AB826" s="3"/>
    </row>
    <row r="827">
      <c r="Y827" s="3"/>
      <c r="Z827" s="3"/>
      <c r="AA827" s="3"/>
      <c r="AB827" s="3"/>
    </row>
    <row r="828">
      <c r="Y828" s="3"/>
      <c r="Z828" s="3"/>
      <c r="AA828" s="3"/>
      <c r="AB828" s="3"/>
    </row>
    <row r="829">
      <c r="Y829" s="3"/>
      <c r="Z829" s="3"/>
      <c r="AA829" s="3"/>
      <c r="AB829" s="3"/>
    </row>
    <row r="830">
      <c r="Y830" s="3"/>
      <c r="Z830" s="3"/>
      <c r="AA830" s="3"/>
      <c r="AB830" s="3"/>
    </row>
    <row r="831">
      <c r="Y831" s="3"/>
      <c r="Z831" s="3"/>
      <c r="AA831" s="3"/>
      <c r="AB831" s="3"/>
    </row>
    <row r="832">
      <c r="Y832" s="3"/>
      <c r="Z832" s="3"/>
      <c r="AA832" s="3"/>
      <c r="AB832" s="3"/>
    </row>
    <row r="833">
      <c r="Y833" s="3"/>
      <c r="Z833" s="3"/>
      <c r="AA833" s="3"/>
      <c r="AB833" s="3"/>
    </row>
    <row r="834">
      <c r="Y834" s="3"/>
      <c r="Z834" s="3"/>
      <c r="AA834" s="3"/>
      <c r="AB834" s="3"/>
    </row>
    <row r="835">
      <c r="Y835" s="3"/>
      <c r="Z835" s="3"/>
      <c r="AA835" s="3"/>
      <c r="AB835" s="3"/>
    </row>
    <row r="836">
      <c r="Y836" s="3"/>
      <c r="Z836" s="3"/>
      <c r="AA836" s="3"/>
      <c r="AB836" s="3"/>
    </row>
    <row r="837">
      <c r="Y837" s="3"/>
      <c r="Z837" s="3"/>
      <c r="AA837" s="3"/>
      <c r="AB837" s="3"/>
    </row>
    <row r="838">
      <c r="Y838" s="3"/>
      <c r="Z838" s="3"/>
      <c r="AA838" s="3"/>
      <c r="AB838" s="3"/>
    </row>
    <row r="839">
      <c r="Y839" s="3"/>
      <c r="Z839" s="3"/>
      <c r="AA839" s="3"/>
      <c r="AB839" s="3"/>
    </row>
    <row r="840">
      <c r="Y840" s="3"/>
      <c r="Z840" s="3"/>
      <c r="AA840" s="3"/>
      <c r="AB840" s="3"/>
    </row>
    <row r="841">
      <c r="Y841" s="3"/>
      <c r="Z841" s="3"/>
      <c r="AA841" s="3"/>
      <c r="AB841" s="3"/>
    </row>
    <row r="842">
      <c r="Y842" s="3"/>
      <c r="Z842" s="3"/>
      <c r="AA842" s="3"/>
      <c r="AB842" s="3"/>
    </row>
    <row r="843">
      <c r="Y843" s="3"/>
      <c r="Z843" s="3"/>
      <c r="AA843" s="3"/>
      <c r="AB843" s="3"/>
    </row>
    <row r="844">
      <c r="Y844" s="3"/>
      <c r="Z844" s="3"/>
      <c r="AA844" s="3"/>
      <c r="AB844" s="3"/>
    </row>
    <row r="845">
      <c r="Y845" s="3"/>
      <c r="Z845" s="3"/>
      <c r="AA845" s="3"/>
      <c r="AB845" s="3"/>
    </row>
    <row r="846">
      <c r="Y846" s="3"/>
      <c r="Z846" s="3"/>
      <c r="AA846" s="3"/>
      <c r="AB846" s="3"/>
    </row>
    <row r="847">
      <c r="Y847" s="3"/>
      <c r="Z847" s="3"/>
      <c r="AA847" s="3"/>
      <c r="AB847" s="3"/>
    </row>
    <row r="848">
      <c r="Y848" s="3"/>
      <c r="Z848" s="3"/>
      <c r="AA848" s="3"/>
      <c r="AB848" s="3"/>
    </row>
    <row r="849">
      <c r="Y849" s="3"/>
      <c r="Z849" s="3"/>
      <c r="AA849" s="3"/>
      <c r="AB849" s="3"/>
    </row>
    <row r="850">
      <c r="Y850" s="3"/>
      <c r="Z850" s="3"/>
      <c r="AA850" s="3"/>
      <c r="AB850" s="3"/>
    </row>
    <row r="851">
      <c r="Y851" s="3"/>
      <c r="Z851" s="3"/>
      <c r="AA851" s="3"/>
      <c r="AB851" s="3"/>
    </row>
    <row r="852">
      <c r="Y852" s="3"/>
      <c r="Z852" s="3"/>
      <c r="AA852" s="3"/>
      <c r="AB852" s="3"/>
    </row>
    <row r="853">
      <c r="Y853" s="3"/>
      <c r="Z853" s="3"/>
      <c r="AA853" s="3"/>
      <c r="AB853" s="3"/>
    </row>
    <row r="854">
      <c r="Y854" s="3"/>
      <c r="Z854" s="3"/>
      <c r="AA854" s="3"/>
      <c r="AB854" s="3"/>
    </row>
    <row r="855">
      <c r="Y855" s="3"/>
      <c r="Z855" s="3"/>
      <c r="AA855" s="3"/>
      <c r="AB855" s="3"/>
    </row>
    <row r="856">
      <c r="Y856" s="3"/>
      <c r="Z856" s="3"/>
      <c r="AA856" s="3"/>
      <c r="AB856" s="3"/>
    </row>
    <row r="857">
      <c r="Y857" s="3"/>
      <c r="Z857" s="3"/>
      <c r="AA857" s="3"/>
      <c r="AB857" s="3"/>
    </row>
    <row r="858">
      <c r="Y858" s="3"/>
      <c r="Z858" s="3"/>
      <c r="AA858" s="3"/>
      <c r="AB858" s="3"/>
    </row>
    <row r="859">
      <c r="Y859" s="3"/>
      <c r="Z859" s="3"/>
      <c r="AA859" s="3"/>
      <c r="AB859" s="3"/>
    </row>
    <row r="860">
      <c r="Y860" s="3"/>
      <c r="Z860" s="3"/>
      <c r="AA860" s="3"/>
      <c r="AB860" s="3"/>
    </row>
    <row r="861">
      <c r="Y861" s="3"/>
      <c r="Z861" s="3"/>
      <c r="AA861" s="3"/>
      <c r="AB861" s="3"/>
    </row>
    <row r="862">
      <c r="Y862" s="3"/>
      <c r="Z862" s="3"/>
      <c r="AA862" s="3"/>
      <c r="AB862" s="3"/>
    </row>
    <row r="863">
      <c r="Y863" s="3"/>
      <c r="Z863" s="3"/>
      <c r="AA863" s="3"/>
      <c r="AB863" s="3"/>
    </row>
    <row r="864">
      <c r="Y864" s="3"/>
      <c r="Z864" s="3"/>
      <c r="AA864" s="3"/>
      <c r="AB864" s="3"/>
    </row>
    <row r="865">
      <c r="Y865" s="3"/>
      <c r="Z865" s="3"/>
      <c r="AA865" s="3"/>
      <c r="AB865" s="3"/>
    </row>
    <row r="866">
      <c r="Y866" s="3"/>
      <c r="Z866" s="3"/>
      <c r="AA866" s="3"/>
      <c r="AB866" s="3"/>
    </row>
    <row r="867">
      <c r="Y867" s="3"/>
      <c r="Z867" s="3"/>
      <c r="AA867" s="3"/>
      <c r="AB867" s="3"/>
    </row>
    <row r="868">
      <c r="Y868" s="3"/>
      <c r="Z868" s="3"/>
      <c r="AA868" s="3"/>
      <c r="AB868" s="3"/>
    </row>
    <row r="869">
      <c r="Y869" s="3"/>
      <c r="Z869" s="3"/>
      <c r="AA869" s="3"/>
      <c r="AB869" s="3"/>
    </row>
    <row r="870">
      <c r="Y870" s="3"/>
      <c r="Z870" s="3"/>
      <c r="AA870" s="3"/>
      <c r="AB870" s="3"/>
    </row>
    <row r="871">
      <c r="Y871" s="3"/>
      <c r="Z871" s="3"/>
      <c r="AA871" s="3"/>
      <c r="AB871" s="3"/>
    </row>
    <row r="872">
      <c r="Y872" s="3"/>
      <c r="Z872" s="3"/>
      <c r="AA872" s="3"/>
      <c r="AB872" s="3"/>
    </row>
    <row r="873">
      <c r="Y873" s="3"/>
      <c r="Z873" s="3"/>
      <c r="AA873" s="3"/>
      <c r="AB873" s="3"/>
    </row>
    <row r="874">
      <c r="Y874" s="3"/>
      <c r="Z874" s="3"/>
      <c r="AA874" s="3"/>
      <c r="AB874" s="3"/>
    </row>
    <row r="875">
      <c r="Y875" s="3"/>
      <c r="Z875" s="3"/>
      <c r="AA875" s="3"/>
      <c r="AB875" s="3"/>
    </row>
    <row r="876">
      <c r="Y876" s="3"/>
      <c r="Z876" s="3"/>
      <c r="AA876" s="3"/>
      <c r="AB876" s="3"/>
    </row>
    <row r="877">
      <c r="Y877" s="3"/>
      <c r="Z877" s="3"/>
      <c r="AA877" s="3"/>
      <c r="AB877" s="3"/>
    </row>
    <row r="878">
      <c r="Y878" s="3"/>
      <c r="Z878" s="3"/>
      <c r="AA878" s="3"/>
      <c r="AB878" s="3"/>
    </row>
    <row r="879">
      <c r="Y879" s="3"/>
      <c r="Z879" s="3"/>
      <c r="AA879" s="3"/>
      <c r="AB879" s="3"/>
    </row>
    <row r="880">
      <c r="Y880" s="3"/>
      <c r="Z880" s="3"/>
      <c r="AA880" s="3"/>
      <c r="AB880" s="3"/>
    </row>
    <row r="881">
      <c r="Y881" s="3"/>
      <c r="Z881" s="3"/>
      <c r="AA881" s="3"/>
      <c r="AB881" s="3"/>
    </row>
    <row r="882">
      <c r="Y882" s="3"/>
      <c r="Z882" s="3"/>
      <c r="AA882" s="3"/>
      <c r="AB882" s="3"/>
    </row>
    <row r="883">
      <c r="Y883" s="3"/>
      <c r="Z883" s="3"/>
      <c r="AA883" s="3"/>
      <c r="AB883" s="3"/>
    </row>
    <row r="884">
      <c r="Y884" s="3"/>
      <c r="Z884" s="3"/>
      <c r="AA884" s="3"/>
      <c r="AB884" s="3"/>
    </row>
    <row r="885">
      <c r="Y885" s="3"/>
      <c r="Z885" s="3"/>
      <c r="AA885" s="3"/>
      <c r="AB885" s="3"/>
    </row>
    <row r="886">
      <c r="Y886" s="3"/>
      <c r="Z886" s="3"/>
      <c r="AA886" s="3"/>
      <c r="AB886" s="3"/>
    </row>
    <row r="887">
      <c r="Y887" s="3"/>
      <c r="Z887" s="3"/>
      <c r="AA887" s="3"/>
      <c r="AB887" s="3"/>
    </row>
    <row r="888">
      <c r="Y888" s="3"/>
      <c r="Z888" s="3"/>
      <c r="AA888" s="3"/>
      <c r="AB888" s="3"/>
    </row>
    <row r="889">
      <c r="Y889" s="3"/>
      <c r="Z889" s="3"/>
      <c r="AA889" s="3"/>
      <c r="AB889" s="3"/>
    </row>
    <row r="890">
      <c r="Y890" s="3"/>
      <c r="Z890" s="3"/>
      <c r="AA890" s="3"/>
      <c r="AB890" s="3"/>
    </row>
    <row r="891">
      <c r="Y891" s="3"/>
      <c r="Z891" s="3"/>
      <c r="AA891" s="3"/>
      <c r="AB891" s="3"/>
    </row>
    <row r="892">
      <c r="Y892" s="3"/>
      <c r="Z892" s="3"/>
      <c r="AA892" s="3"/>
      <c r="AB892" s="3"/>
    </row>
    <row r="893">
      <c r="Y893" s="3"/>
      <c r="Z893" s="3"/>
      <c r="AA893" s="3"/>
      <c r="AB893" s="3"/>
    </row>
    <row r="894">
      <c r="Y894" s="3"/>
      <c r="Z894" s="3"/>
      <c r="AA894" s="3"/>
      <c r="AB894" s="3"/>
    </row>
    <row r="895">
      <c r="Y895" s="3"/>
      <c r="Z895" s="3"/>
      <c r="AA895" s="3"/>
      <c r="AB895" s="3"/>
    </row>
    <row r="896">
      <c r="Y896" s="3"/>
      <c r="Z896" s="3"/>
      <c r="AA896" s="3"/>
      <c r="AB896" s="3"/>
    </row>
    <row r="897">
      <c r="Y897" s="3"/>
      <c r="Z897" s="3"/>
      <c r="AA897" s="3"/>
      <c r="AB897" s="3"/>
    </row>
    <row r="898">
      <c r="Y898" s="3"/>
      <c r="Z898" s="3"/>
      <c r="AA898" s="3"/>
      <c r="AB898" s="3"/>
    </row>
    <row r="899">
      <c r="Y899" s="3"/>
      <c r="Z899" s="3"/>
      <c r="AA899" s="3"/>
      <c r="AB899" s="3"/>
    </row>
    <row r="900">
      <c r="Y900" s="3"/>
      <c r="Z900" s="3"/>
      <c r="AA900" s="3"/>
      <c r="AB900" s="3"/>
    </row>
    <row r="901">
      <c r="Y901" s="3"/>
      <c r="Z901" s="3"/>
      <c r="AA901" s="3"/>
      <c r="AB901" s="3"/>
    </row>
    <row r="902">
      <c r="Y902" s="3"/>
      <c r="Z902" s="3"/>
      <c r="AA902" s="3"/>
      <c r="AB902" s="3"/>
    </row>
    <row r="903">
      <c r="Y903" s="3"/>
      <c r="Z903" s="3"/>
      <c r="AA903" s="3"/>
      <c r="AB903" s="3"/>
    </row>
    <row r="904">
      <c r="Y904" s="3"/>
      <c r="Z904" s="3"/>
      <c r="AA904" s="3"/>
      <c r="AB904" s="3"/>
    </row>
    <row r="905">
      <c r="Y905" s="3"/>
      <c r="Z905" s="3"/>
      <c r="AA905" s="3"/>
      <c r="AB905" s="3"/>
    </row>
    <row r="906">
      <c r="Y906" s="3"/>
      <c r="Z906" s="3"/>
      <c r="AA906" s="3"/>
      <c r="AB906" s="3"/>
    </row>
    <row r="907">
      <c r="Y907" s="3"/>
      <c r="Z907" s="3"/>
      <c r="AA907" s="3"/>
      <c r="AB907" s="3"/>
    </row>
    <row r="908">
      <c r="Y908" s="3"/>
      <c r="Z908" s="3"/>
      <c r="AA908" s="3"/>
      <c r="AB908" s="3"/>
    </row>
    <row r="909">
      <c r="Y909" s="3"/>
      <c r="Z909" s="3"/>
      <c r="AA909" s="3"/>
      <c r="AB909" s="3"/>
    </row>
    <row r="910">
      <c r="Y910" s="3"/>
      <c r="Z910" s="3"/>
      <c r="AA910" s="3"/>
      <c r="AB910" s="3"/>
    </row>
    <row r="911">
      <c r="Y911" s="3"/>
      <c r="Z911" s="3"/>
      <c r="AA911" s="3"/>
      <c r="AB911" s="3"/>
    </row>
    <row r="912">
      <c r="Y912" s="3"/>
      <c r="Z912" s="3"/>
      <c r="AA912" s="3"/>
      <c r="AB912" s="3"/>
    </row>
    <row r="913">
      <c r="Y913" s="3"/>
      <c r="Z913" s="3"/>
      <c r="AA913" s="3"/>
      <c r="AB913" s="3"/>
    </row>
    <row r="914">
      <c r="Y914" s="3"/>
      <c r="Z914" s="3"/>
      <c r="AA914" s="3"/>
      <c r="AB914" s="3"/>
    </row>
    <row r="915">
      <c r="Y915" s="3"/>
      <c r="Z915" s="3"/>
      <c r="AA915" s="3"/>
      <c r="AB915" s="3"/>
    </row>
    <row r="916">
      <c r="Y916" s="3"/>
      <c r="Z916" s="3"/>
      <c r="AA916" s="3"/>
      <c r="AB916" s="3"/>
    </row>
    <row r="917">
      <c r="Y917" s="3"/>
      <c r="Z917" s="3"/>
      <c r="AA917" s="3"/>
      <c r="AB917" s="3"/>
    </row>
    <row r="918">
      <c r="Y918" s="3"/>
      <c r="Z918" s="3"/>
      <c r="AA918" s="3"/>
      <c r="AB918" s="3"/>
    </row>
    <row r="919">
      <c r="Y919" s="3"/>
      <c r="Z919" s="3"/>
      <c r="AA919" s="3"/>
      <c r="AB919" s="3"/>
    </row>
    <row r="920">
      <c r="Y920" s="3"/>
      <c r="Z920" s="3"/>
      <c r="AA920" s="3"/>
      <c r="AB920" s="3"/>
    </row>
    <row r="921">
      <c r="Y921" s="3"/>
      <c r="Z921" s="3"/>
      <c r="AA921" s="3"/>
      <c r="AB921" s="3"/>
    </row>
    <row r="922">
      <c r="Y922" s="3"/>
      <c r="Z922" s="3"/>
      <c r="AA922" s="3"/>
      <c r="AB922" s="3"/>
    </row>
    <row r="923">
      <c r="Y923" s="3"/>
      <c r="Z923" s="3"/>
      <c r="AA923" s="3"/>
      <c r="AB923" s="3"/>
    </row>
    <row r="924">
      <c r="Y924" s="3"/>
      <c r="Z924" s="3"/>
      <c r="AA924" s="3"/>
      <c r="AB924" s="3"/>
    </row>
    <row r="925">
      <c r="Y925" s="3"/>
      <c r="Z925" s="3"/>
      <c r="AA925" s="3"/>
      <c r="AB925" s="3"/>
    </row>
    <row r="926">
      <c r="Y926" s="3"/>
      <c r="Z926" s="3"/>
      <c r="AA926" s="3"/>
      <c r="AB926" s="3"/>
    </row>
    <row r="927">
      <c r="Y927" s="3"/>
      <c r="Z927" s="3"/>
      <c r="AA927" s="3"/>
      <c r="AB927" s="3"/>
    </row>
    <row r="928">
      <c r="Y928" s="3"/>
      <c r="Z928" s="3"/>
      <c r="AA928" s="3"/>
      <c r="AB928" s="3"/>
    </row>
    <row r="929">
      <c r="Y929" s="3"/>
      <c r="Z929" s="3"/>
      <c r="AA929" s="3"/>
      <c r="AB929" s="3"/>
    </row>
    <row r="930">
      <c r="Y930" s="3"/>
      <c r="Z930" s="3"/>
      <c r="AA930" s="3"/>
      <c r="AB930" s="3"/>
    </row>
    <row r="931">
      <c r="Y931" s="3"/>
      <c r="Z931" s="3"/>
      <c r="AA931" s="3"/>
      <c r="AB931" s="3"/>
    </row>
    <row r="932">
      <c r="Y932" s="3"/>
      <c r="Z932" s="3"/>
      <c r="AA932" s="3"/>
      <c r="AB932" s="3"/>
    </row>
    <row r="933">
      <c r="Y933" s="3"/>
      <c r="Z933" s="3"/>
      <c r="AA933" s="3"/>
      <c r="AB933" s="3"/>
    </row>
    <row r="934">
      <c r="Y934" s="3"/>
      <c r="Z934" s="3"/>
      <c r="AA934" s="3"/>
      <c r="AB934" s="3"/>
    </row>
    <row r="935">
      <c r="Y935" s="3"/>
      <c r="Z935" s="3"/>
      <c r="AA935" s="3"/>
      <c r="AB935" s="3"/>
    </row>
    <row r="936">
      <c r="Y936" s="3"/>
      <c r="Z936" s="3"/>
      <c r="AA936" s="3"/>
      <c r="AB936" s="3"/>
    </row>
    <row r="937">
      <c r="Y937" s="3"/>
      <c r="Z937" s="3"/>
      <c r="AA937" s="3"/>
      <c r="AB937" s="3"/>
    </row>
    <row r="938">
      <c r="Y938" s="3"/>
      <c r="Z938" s="3"/>
      <c r="AA938" s="3"/>
      <c r="AB938" s="3"/>
    </row>
    <row r="939">
      <c r="Y939" s="3"/>
      <c r="Z939" s="3"/>
      <c r="AA939" s="3"/>
      <c r="AB939" s="3"/>
    </row>
    <row r="940">
      <c r="Y940" s="3"/>
      <c r="Z940" s="3"/>
      <c r="AA940" s="3"/>
      <c r="AB940" s="3"/>
    </row>
    <row r="941">
      <c r="Y941" s="3"/>
      <c r="Z941" s="3"/>
      <c r="AA941" s="3"/>
      <c r="AB941" s="3"/>
    </row>
    <row r="942">
      <c r="Y942" s="3"/>
      <c r="Z942" s="3"/>
      <c r="AA942" s="3"/>
      <c r="AB942" s="3"/>
    </row>
    <row r="943">
      <c r="Y943" s="3"/>
      <c r="Z943" s="3"/>
      <c r="AA943" s="3"/>
      <c r="AB943" s="3"/>
    </row>
    <row r="944">
      <c r="Y944" s="3"/>
      <c r="Z944" s="3"/>
      <c r="AA944" s="3"/>
      <c r="AB944" s="3"/>
    </row>
    <row r="945">
      <c r="Y945" s="3"/>
      <c r="Z945" s="3"/>
      <c r="AA945" s="3"/>
      <c r="AB945" s="3"/>
    </row>
    <row r="946">
      <c r="Y946" s="3"/>
      <c r="Z946" s="3"/>
      <c r="AA946" s="3"/>
      <c r="AB946" s="3"/>
    </row>
    <row r="947">
      <c r="Y947" s="3"/>
      <c r="Z947" s="3"/>
      <c r="AA947" s="3"/>
      <c r="AB947" s="3"/>
    </row>
    <row r="948">
      <c r="Y948" s="3"/>
      <c r="Z948" s="3"/>
      <c r="AA948" s="3"/>
      <c r="AB948" s="3"/>
    </row>
    <row r="949">
      <c r="Y949" s="3"/>
      <c r="Z949" s="3"/>
      <c r="AA949" s="3"/>
      <c r="AB949" s="3"/>
    </row>
    <row r="950">
      <c r="Y950" s="3"/>
      <c r="Z950" s="3"/>
      <c r="AA950" s="3"/>
      <c r="AB950" s="3"/>
    </row>
    <row r="951">
      <c r="Y951" s="3"/>
      <c r="Z951" s="3"/>
      <c r="AA951" s="3"/>
      <c r="AB951" s="3"/>
    </row>
    <row r="952">
      <c r="Y952" s="3"/>
      <c r="Z952" s="3"/>
      <c r="AA952" s="3"/>
      <c r="AB952" s="3"/>
    </row>
    <row r="953">
      <c r="Y953" s="3"/>
      <c r="Z953" s="3"/>
      <c r="AA953" s="3"/>
      <c r="AB953" s="3"/>
    </row>
    <row r="954">
      <c r="Y954" s="3"/>
      <c r="Z954" s="3"/>
      <c r="AA954" s="3"/>
      <c r="AB954" s="3"/>
    </row>
    <row r="955">
      <c r="Y955" s="3"/>
      <c r="Z955" s="3"/>
      <c r="AA955" s="3"/>
      <c r="AB955" s="3"/>
    </row>
    <row r="956">
      <c r="Y956" s="3"/>
      <c r="Z956" s="3"/>
      <c r="AA956" s="3"/>
      <c r="AB956" s="3"/>
    </row>
    <row r="957">
      <c r="Y957" s="3"/>
      <c r="Z957" s="3"/>
      <c r="AA957" s="3"/>
      <c r="AB957" s="3"/>
    </row>
    <row r="958">
      <c r="Y958" s="3"/>
      <c r="Z958" s="3"/>
      <c r="AA958" s="3"/>
      <c r="AB958" s="3"/>
    </row>
    <row r="959">
      <c r="Y959" s="3"/>
      <c r="Z959" s="3"/>
      <c r="AA959" s="3"/>
      <c r="AB959" s="3"/>
    </row>
    <row r="960">
      <c r="Y960" s="3"/>
      <c r="Z960" s="3"/>
      <c r="AA960" s="3"/>
      <c r="AB960" s="3"/>
    </row>
    <row r="961">
      <c r="Y961" s="3"/>
      <c r="Z961" s="3"/>
      <c r="AA961" s="3"/>
      <c r="AB961" s="3"/>
    </row>
    <row r="962">
      <c r="Y962" s="3"/>
      <c r="Z962" s="3"/>
      <c r="AA962" s="3"/>
      <c r="AB962" s="3"/>
    </row>
    <row r="963">
      <c r="Y963" s="3"/>
      <c r="Z963" s="3"/>
      <c r="AA963" s="3"/>
      <c r="AB963" s="3"/>
    </row>
    <row r="964">
      <c r="Y964" s="3"/>
      <c r="Z964" s="3"/>
      <c r="AA964" s="3"/>
      <c r="AB964" s="3"/>
    </row>
    <row r="965">
      <c r="Y965" s="3"/>
      <c r="Z965" s="3"/>
      <c r="AA965" s="3"/>
      <c r="AB965" s="3"/>
    </row>
    <row r="966">
      <c r="Y966" s="3"/>
      <c r="Z966" s="3"/>
      <c r="AA966" s="3"/>
      <c r="AB966" s="3"/>
    </row>
    <row r="967">
      <c r="Y967" s="3"/>
      <c r="Z967" s="3"/>
      <c r="AA967" s="3"/>
      <c r="AB967" s="3"/>
    </row>
    <row r="968">
      <c r="Y968" s="3"/>
      <c r="Z968" s="3"/>
      <c r="AA968" s="3"/>
      <c r="AB968" s="3"/>
    </row>
    <row r="969">
      <c r="Y969" s="3"/>
      <c r="Z969" s="3"/>
      <c r="AA969" s="3"/>
      <c r="AB969" s="3"/>
    </row>
    <row r="970">
      <c r="Y970" s="3"/>
      <c r="Z970" s="3"/>
      <c r="AA970" s="3"/>
      <c r="AB970" s="3"/>
    </row>
    <row r="971">
      <c r="Y971" s="3"/>
      <c r="Z971" s="3"/>
      <c r="AA971" s="3"/>
      <c r="AB971" s="3"/>
    </row>
    <row r="972">
      <c r="Y972" s="3"/>
      <c r="Z972" s="3"/>
      <c r="AA972" s="3"/>
      <c r="AB972" s="3"/>
    </row>
    <row r="973">
      <c r="Y973" s="3"/>
      <c r="Z973" s="3"/>
      <c r="AA973" s="3"/>
      <c r="AB973" s="3"/>
    </row>
    <row r="974">
      <c r="Y974" s="3"/>
      <c r="Z974" s="3"/>
      <c r="AA974" s="3"/>
      <c r="AB974" s="3"/>
    </row>
    <row r="975">
      <c r="Y975" s="3"/>
      <c r="Z975" s="3"/>
      <c r="AA975" s="3"/>
      <c r="AB975" s="3"/>
    </row>
    <row r="976">
      <c r="Y976" s="3"/>
      <c r="Z976" s="3"/>
      <c r="AA976" s="3"/>
      <c r="AB976" s="3"/>
    </row>
    <row r="977">
      <c r="Y977" s="3"/>
      <c r="Z977" s="3"/>
      <c r="AA977" s="3"/>
      <c r="AB977" s="3"/>
    </row>
    <row r="978">
      <c r="Y978" s="3"/>
      <c r="Z978" s="3"/>
      <c r="AA978" s="3"/>
      <c r="AB978" s="3"/>
    </row>
    <row r="979">
      <c r="Y979" s="3"/>
      <c r="Z979" s="3"/>
      <c r="AA979" s="3"/>
      <c r="AB979" s="3"/>
    </row>
    <row r="980">
      <c r="Y980" s="3"/>
      <c r="Z980" s="3"/>
      <c r="AA980" s="3"/>
      <c r="AB980" s="3"/>
    </row>
    <row r="981">
      <c r="Y981" s="3"/>
      <c r="Z981" s="3"/>
      <c r="AA981" s="3"/>
      <c r="AB981" s="3"/>
    </row>
    <row r="982">
      <c r="Y982" s="3"/>
      <c r="Z982" s="3"/>
      <c r="AA982" s="3"/>
      <c r="AB982" s="3"/>
    </row>
    <row r="983">
      <c r="Y983" s="3"/>
      <c r="Z983" s="3"/>
      <c r="AA983" s="3"/>
      <c r="AB983" s="3"/>
    </row>
    <row r="984">
      <c r="Y984" s="3"/>
      <c r="Z984" s="3"/>
      <c r="AA984" s="3"/>
      <c r="AB984" s="3"/>
    </row>
    <row r="985">
      <c r="Y985" s="3"/>
      <c r="Z985" s="3"/>
      <c r="AA985" s="3"/>
      <c r="AB985" s="3"/>
    </row>
    <row r="986">
      <c r="Y986" s="3"/>
      <c r="Z986" s="3"/>
      <c r="AA986" s="3"/>
      <c r="AB986" s="3"/>
    </row>
    <row r="987">
      <c r="Y987" s="3"/>
      <c r="Z987" s="3"/>
      <c r="AA987" s="3"/>
      <c r="AB987" s="3"/>
    </row>
    <row r="988">
      <c r="Y988" s="3"/>
      <c r="Z988" s="3"/>
      <c r="AA988" s="3"/>
      <c r="AB988" s="3"/>
    </row>
    <row r="989">
      <c r="Y989" s="3"/>
      <c r="Z989" s="3"/>
      <c r="AA989" s="3"/>
      <c r="AB989" s="3"/>
    </row>
    <row r="990">
      <c r="Y990" s="3"/>
      <c r="Z990" s="3"/>
      <c r="AA990" s="3"/>
      <c r="AB990" s="3"/>
    </row>
    <row r="991">
      <c r="Y991" s="3"/>
      <c r="Z991" s="3"/>
      <c r="AA991" s="3"/>
      <c r="AB991" s="3"/>
    </row>
    <row r="992">
      <c r="Y992" s="3"/>
      <c r="Z992" s="3"/>
      <c r="AA992" s="3"/>
      <c r="AB992" s="3"/>
    </row>
    <row r="993">
      <c r="Y993" s="3"/>
      <c r="Z993" s="3"/>
      <c r="AA993" s="3"/>
      <c r="AB993" s="3"/>
    </row>
    <row r="994">
      <c r="Y994" s="3"/>
      <c r="Z994" s="3"/>
      <c r="AA994" s="3"/>
      <c r="AB994" s="3"/>
    </row>
    <row r="995">
      <c r="Y995" s="3"/>
      <c r="Z995" s="3"/>
      <c r="AA995" s="3"/>
      <c r="AB995" s="3"/>
    </row>
    <row r="996">
      <c r="Y996" s="3"/>
      <c r="Z996" s="3"/>
      <c r="AA996" s="3"/>
      <c r="AB996" s="3"/>
    </row>
    <row r="997">
      <c r="Y997" s="3"/>
      <c r="Z997" s="3"/>
      <c r="AA997" s="3"/>
      <c r="AB997" s="3"/>
    </row>
    <row r="998">
      <c r="Y998" s="3"/>
      <c r="Z998" s="3"/>
      <c r="AA998" s="3"/>
      <c r="AB998" s="3"/>
    </row>
    <row r="999">
      <c r="Y999" s="3"/>
      <c r="Z999" s="3"/>
      <c r="AA999" s="3"/>
      <c r="AB999" s="3"/>
    </row>
    <row r="1000">
      <c r="Y1000" s="3"/>
      <c r="Z1000" s="3"/>
      <c r="AA1000" s="3"/>
      <c r="AB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5</v>
      </c>
    </row>
    <row r="2">
      <c r="A2" s="2" t="s">
        <v>7</v>
      </c>
      <c r="B2" s="2">
        <v>813.0</v>
      </c>
    </row>
    <row r="3">
      <c r="A3" s="2" t="s">
        <v>9</v>
      </c>
      <c r="B3" s="2">
        <v>802.0</v>
      </c>
    </row>
    <row r="4">
      <c r="A4" s="2" t="s">
        <v>11</v>
      </c>
      <c r="B4" s="2">
        <v>803.0</v>
      </c>
    </row>
    <row r="5">
      <c r="A5" s="2" t="s">
        <v>12</v>
      </c>
      <c r="B5" s="2">
        <v>799.0</v>
      </c>
    </row>
    <row r="6">
      <c r="A6" s="2" t="s">
        <v>14</v>
      </c>
      <c r="B6" s="2">
        <v>807.0</v>
      </c>
    </row>
    <row r="7">
      <c r="A7" s="2" t="s">
        <v>17</v>
      </c>
      <c r="B7" s="2">
        <v>808.0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13"/>
    <col customWidth="1" min="5" max="5" width="5.88"/>
    <col customWidth="1" min="6" max="6" width="15.0"/>
    <col customWidth="1" min="7" max="7" width="11.5"/>
    <col customWidth="1" min="8" max="8" width="18.25"/>
    <col customWidth="1" min="9" max="9" width="6.38"/>
    <col customWidth="1" min="10" max="10" width="5.75"/>
    <col customWidth="1" min="11" max="11" width="13.75"/>
    <col customWidth="1" min="12" max="12" width="15.25"/>
    <col customWidth="1" min="13" max="13" width="8.5"/>
    <col customWidth="1" min="14" max="14" width="9.13"/>
  </cols>
  <sheetData>
    <row r="1">
      <c r="A1" s="5" t="str">
        <f>IFERROR(__xludf.DUMMYFUNCTION("query(
  IMPORTRANGE(""https://docs.google.com/spreadsheets/d/1Etd2PmbY5LgPaYhkdykT7KYXZHhB-_Qx3u-UXhFgpI8/edit?gid=1684930643#gid=1684930643"",""Staff!A:O""),
  ""select * where Col11='Technical Team'and Col14='' order by Col13 asc""
)
"),"Telegram ID")</f>
        <v>Telegram ID</v>
      </c>
      <c r="B1" s="5" t="str">
        <f>IFERROR(__xludf.DUMMYFUNCTION("""COMPUTED_VALUE"""),"Check P Mytel: 2")</f>
        <v>Check P Mytel: 2</v>
      </c>
      <c r="C1" s="5" t="str">
        <f>IFERROR(__xludf.DUMMYFUNCTION("""COMPUTED_VALUE"""),"Name Telegram")</f>
        <v>Name Telegram</v>
      </c>
      <c r="D1" s="5" t="str">
        <f>IFERROR(__xludf.DUMMYFUNCTION("""COMPUTED_VALUE"""),"No")</f>
        <v>No</v>
      </c>
      <c r="E1" s="5" t="str">
        <f>IFERROR(__xludf.DUMMYFUNCTION("""COMPUTED_VALUE"""),"")</f>
        <v/>
      </c>
      <c r="F1" s="6" t="str">
        <f>IFERROR(__xludf.DUMMYFUNCTION("""COMPUTED_VALUE"""),"")</f>
        <v/>
      </c>
      <c r="G1" s="5" t="str">
        <f>IFERROR(__xludf.DUMMYFUNCTION("""COMPUTED_VALUE"""),"VCM Code")</f>
        <v>VCM Code</v>
      </c>
      <c r="H1" s="5" t="str">
        <f>IFERROR(__xludf.DUMMYFUNCTION("""COMPUTED_VALUE"""),"VMY Code GNOC")</f>
        <v>VMY Code GNOC</v>
      </c>
      <c r="I1" s="5" t="str">
        <f>IFERROR(__xludf.DUMMYFUNCTION("""COMPUTED_VALUE"""),"O &amp; M- Construction")</f>
        <v>O &amp; M- Construction</v>
      </c>
      <c r="J1" s="5" t="str">
        <f>IFERROR(__xludf.DUMMYFUNCTION("""COMPUTED_VALUE"""),"Branch")</f>
        <v>Branch</v>
      </c>
      <c r="K1" s="5" t="str">
        <f>IFERROR(__xludf.DUMMYFUNCTION("""COMPUTED_VALUE"""),"Dep")</f>
        <v>Dep</v>
      </c>
      <c r="L1" s="5" t="str">
        <f>IFERROR(__xludf.DUMMYFUNCTION("""COMPUTED_VALUE"""),"Position")</f>
        <v>Position</v>
      </c>
      <c r="M1" s="5" t="str">
        <f>IFERROR(__xludf.DUMMYFUNCTION("""COMPUTED_VALUE"""),"Team No, Resposibility")</f>
        <v>Team No, Resposibility</v>
      </c>
      <c r="N1" s="5" t="str">
        <f>IFERROR(__xludf.DUMMYFUNCTION("""COMPUTED_VALUE"""),"Probation")</f>
        <v>Probation</v>
      </c>
      <c r="O1" s="5" t="str">
        <f>IFERROR(__xludf.DUMMYFUNCTION("""COMPUTED_VALUE"""),"Link Photo man power")</f>
        <v>Link Photo man power</v>
      </c>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row>
    <row r="2">
      <c r="A2" s="5">
        <f>IFERROR(__xludf.DUMMYFUNCTION("""COMPUTED_VALUE"""),8.540261626E9)</f>
        <v>8540261626</v>
      </c>
      <c r="B2" s="5" t="str">
        <f>IFERROR(__xludf.DUMMYFUNCTION("""COMPUTED_VALUE"""),"09667877277")</f>
        <v>09667877277</v>
      </c>
      <c r="C2" s="5" t="str">
        <f>IFERROR(__xludf.DUMMYFUNCTION("""COMPUTED_VALUE"""),"Ryan")</f>
        <v>Ryan</v>
      </c>
      <c r="D2" s="5">
        <f>IFERROR(__xludf.DUMMYFUNCTION("""COMPUTED_VALUE"""),6.0)</f>
        <v>6</v>
      </c>
      <c r="E2" s="5" t="str">
        <f>IFERROR(__xludf.DUMMYFUNCTION("""COMPUTED_VALUE"""),"VCM")</f>
        <v>VCM</v>
      </c>
      <c r="F2" s="6" t="str">
        <f>IFERROR(__xludf.DUMMYFUNCTION("""COMPUTED_VALUE"""),"Bhone Htet Aung")</f>
        <v>Bhone Htet Aung</v>
      </c>
      <c r="G2" s="5" t="str">
        <f>IFERROR(__xludf.DUMMYFUNCTION("""COMPUTED_VALUE"""),"VCM855517")</f>
        <v>VCM855517</v>
      </c>
      <c r="H2" s="5" t="str">
        <f>IFERROR(__xludf.DUMMYFUNCTION("""COMPUTED_VALUE"""),"myt_bhonehtet.aung")</f>
        <v>myt_bhonehtet.aung</v>
      </c>
      <c r="I2" s="5" t="str">
        <f>IFERROR(__xludf.DUMMYFUNCTION("""COMPUTED_VALUE"""),"O&amp;M")</f>
        <v>O&amp;M</v>
      </c>
      <c r="J2" s="5" t="str">
        <f>IFERROR(__xludf.DUMMYFUNCTION("""COMPUTED_VALUE"""),"TNI")</f>
        <v>TNI</v>
      </c>
      <c r="K2" s="5" t="str">
        <f>IFERROR(__xludf.DUMMYFUNCTION("""COMPUTED_VALUE"""),"Technical Team")</f>
        <v>Technical Team</v>
      </c>
      <c r="L2" s="5" t="str">
        <f>IFERROR(__xludf.DUMMYFUNCTION("""COMPUTED_VALUE"""),"Field Technical 1")</f>
        <v>Field Technical 1</v>
      </c>
      <c r="M2" s="5" t="str">
        <f>IFERROR(__xludf.DUMMYFUNCTION("""COMPUTED_VALUE"""),"Team 01")</f>
        <v>Team 01</v>
      </c>
      <c r="N2" s="5"/>
      <c r="O2" s="13" t="str">
        <f>IFERROR(__xludf.DUMMYFUNCTION("""COMPUTED_VALUE"""),"https://drive.google.com/file/d/1R5z1Dqcf06DUUqqMxQzd7tOopbY27ZU0/view?usp=drive_link")</f>
        <v>https://drive.google.com/file/d/1R5z1Dqcf06DUUqqMxQzd7tOopbY27ZU0/view?usp=drive_link</v>
      </c>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row>
    <row r="3">
      <c r="A3" s="5">
        <f>IFERROR(__xludf.DUMMYFUNCTION("""COMPUTED_VALUE"""),5.779222454E9)</f>
        <v>5779222454</v>
      </c>
      <c r="B3" s="5" t="str">
        <f>IFERROR(__xludf.DUMMYFUNCTION("""COMPUTED_VALUE"""),"09667416762")</f>
        <v>09667416762</v>
      </c>
      <c r="C3" s="5" t="str">
        <f>IFERROR(__xludf.DUMMYFUNCTION("""COMPUTED_VALUE"""),"😈 Evil 😈")</f>
        <v>😈 Evil 😈</v>
      </c>
      <c r="D3" s="17">
        <f>IFERROR(__xludf.DUMMYFUNCTION("""COMPUTED_VALUE"""),7.0)</f>
        <v>7</v>
      </c>
      <c r="E3" s="5" t="str">
        <f>IFERROR(__xludf.DUMMYFUNCTION("""COMPUTED_VALUE"""),"VCM")</f>
        <v>VCM</v>
      </c>
      <c r="F3" s="6" t="str">
        <f>IFERROR(__xludf.DUMMYFUNCTION("""COMPUTED_VALUE"""),"Aung Lwin Phyo")</f>
        <v>Aung Lwin Phyo</v>
      </c>
      <c r="G3" s="5" t="str">
        <f>IFERROR(__xludf.DUMMYFUNCTION("""COMPUTED_VALUE"""),"VCM856060")</f>
        <v>VCM856060</v>
      </c>
      <c r="H3" s="5" t="str">
        <f>IFERROR(__xludf.DUMMYFUNCTION("""COMPUTED_VALUE"""),"myt_aunglwin.phyo")</f>
        <v>myt_aunglwin.phyo</v>
      </c>
      <c r="I3" s="18" t="str">
        <f>IFERROR(__xludf.DUMMYFUNCTION("""COMPUTED_VALUE"""),"O&amp;M")</f>
        <v>O&amp;M</v>
      </c>
      <c r="J3" s="5" t="str">
        <f>IFERROR(__xludf.DUMMYFUNCTION("""COMPUTED_VALUE"""),"TNI")</f>
        <v>TNI</v>
      </c>
      <c r="K3" s="5" t="str">
        <f>IFERROR(__xludf.DUMMYFUNCTION("""COMPUTED_VALUE"""),"Technical Team")</f>
        <v>Technical Team</v>
      </c>
      <c r="L3" s="5" t="str">
        <f>IFERROR(__xludf.DUMMYFUNCTION("""COMPUTED_VALUE"""),"Field Technical 1")</f>
        <v>Field Technical 1</v>
      </c>
      <c r="M3" s="5" t="str">
        <f>IFERROR(__xludf.DUMMYFUNCTION("""COMPUTED_VALUE"""),"Team 01")</f>
        <v>Team 01</v>
      </c>
      <c r="N3" s="5"/>
      <c r="O3" s="13" t="str">
        <f>IFERROR(__xludf.DUMMYFUNCTION("""COMPUTED_VALUE"""),"https://drive.google.com/file/d/1CYrxkes2YQvliNluqJ-osEHv-d38NXf1/view?usp=drive_link")</f>
        <v>https://drive.google.com/file/d/1CYrxkes2YQvliNluqJ-osEHv-d38NXf1/view?usp=drive_link</v>
      </c>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row>
    <row r="4">
      <c r="A4" s="5">
        <f>IFERROR(__xludf.DUMMYFUNCTION("""COMPUTED_VALUE"""),6.132505154E9)</f>
        <v>6132505154</v>
      </c>
      <c r="B4" s="5" t="str">
        <f>IFERROR(__xludf.DUMMYFUNCTION("""COMPUTED_VALUE"""),"09683231133")</f>
        <v>09683231133</v>
      </c>
      <c r="C4" s="5" t="str">
        <f>IFERROR(__xludf.DUMMYFUNCTION("""COMPUTED_VALUE"""),"Thar Nge")</f>
        <v>Thar Nge</v>
      </c>
      <c r="D4" s="17">
        <f>IFERROR(__xludf.DUMMYFUNCTION("""COMPUTED_VALUE"""),8.0)</f>
        <v>8</v>
      </c>
      <c r="E4" s="5" t="str">
        <f>IFERROR(__xludf.DUMMYFUNCTION("""COMPUTED_VALUE"""),"VCM")</f>
        <v>VCM</v>
      </c>
      <c r="F4" s="5" t="str">
        <f>IFERROR(__xludf.DUMMYFUNCTION("""COMPUTED_VALUE"""),"Thar Htoo Aung")</f>
        <v>Thar Htoo Aung</v>
      </c>
      <c r="G4" s="5" t="str">
        <f>IFERROR(__xludf.DUMMYFUNCTION("""COMPUTED_VALUE"""),"VCM818107")</f>
        <v>VCM818107</v>
      </c>
      <c r="H4" s="5" t="str">
        <f>IFERROR(__xludf.DUMMYFUNCTION("""COMPUTED_VALUE"""),"myt_tharhtoo.aung11")</f>
        <v>myt_tharhtoo.aung11</v>
      </c>
      <c r="I4" s="5" t="str">
        <f>IFERROR(__xludf.DUMMYFUNCTION("""COMPUTED_VALUE"""),"O&amp;M")</f>
        <v>O&amp;M</v>
      </c>
      <c r="J4" s="5" t="str">
        <f>IFERROR(__xludf.DUMMYFUNCTION("""COMPUTED_VALUE"""),"TNI")</f>
        <v>TNI</v>
      </c>
      <c r="K4" s="5" t="str">
        <f>IFERROR(__xludf.DUMMYFUNCTION("""COMPUTED_VALUE"""),"Technical Team")</f>
        <v>Technical Team</v>
      </c>
      <c r="L4" s="5" t="str">
        <f>IFERROR(__xludf.DUMMYFUNCTION("""COMPUTED_VALUE"""),"FOT Collaborator")</f>
        <v>FOT Collaborator</v>
      </c>
      <c r="M4" s="5" t="str">
        <f>IFERROR(__xludf.DUMMYFUNCTION("""COMPUTED_VALUE"""),"Team 01")</f>
        <v>Team 01</v>
      </c>
      <c r="N4" s="5"/>
      <c r="O4" s="13" t="str">
        <f>IFERROR(__xludf.DUMMYFUNCTION("""COMPUTED_VALUE"""),"https://drive.google.com/file/d/19FYnHYYcX4OHZfEzTKaE23V7G16eQbu3/view?usp=drive_link")</f>
        <v>https://drive.google.com/file/d/19FYnHYYcX4OHZfEzTKaE23V7G16eQbu3/view?usp=drive_link</v>
      </c>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row>
    <row r="5">
      <c r="A5" s="17">
        <f>IFERROR(__xludf.DUMMYFUNCTION("""COMPUTED_VALUE"""),5.291733181E9)</f>
        <v>5291733181</v>
      </c>
      <c r="B5" s="5" t="str">
        <f>IFERROR(__xludf.DUMMYFUNCTION("""COMPUTED_VALUE"""),"09666625857")</f>
        <v>09666625857</v>
      </c>
      <c r="C5" s="5" t="str">
        <f>IFERROR(__xludf.DUMMYFUNCTION("""COMPUTED_VALUE"""),"paing")</f>
        <v>paing</v>
      </c>
      <c r="D5" s="17">
        <f>IFERROR(__xludf.DUMMYFUNCTION("""COMPUTED_VALUE"""),9.0)</f>
        <v>9</v>
      </c>
      <c r="E5" s="5" t="str">
        <f>IFERROR(__xludf.DUMMYFUNCTION("""COMPUTED_VALUE"""),"VCM")</f>
        <v>VCM</v>
      </c>
      <c r="F5" s="5" t="str">
        <f>IFERROR(__xludf.DUMMYFUNCTION("""COMPUTED_VALUE"""),"Paing Aung Soe")</f>
        <v>Paing Aung Soe</v>
      </c>
      <c r="G5" s="5" t="str">
        <f>IFERROR(__xludf.DUMMYFUNCTION("""COMPUTED_VALUE"""),"VCM278437")</f>
        <v>VCM278437</v>
      </c>
      <c r="H5" s="5" t="str">
        <f>IFERROR(__xludf.DUMMYFUNCTION("""COMPUTED_VALUE"""),"myt_paingaung.soe")</f>
        <v>myt_paingaung.soe</v>
      </c>
      <c r="I5" s="5" t="str">
        <f>IFERROR(__xludf.DUMMYFUNCTION("""COMPUTED_VALUE"""),"O&amp;M")</f>
        <v>O&amp;M</v>
      </c>
      <c r="J5" s="5" t="str">
        <f>IFERROR(__xludf.DUMMYFUNCTION("""COMPUTED_VALUE"""),"TNI")</f>
        <v>TNI</v>
      </c>
      <c r="K5" s="24" t="str">
        <f>IFERROR(__xludf.DUMMYFUNCTION("""COMPUTED_VALUE"""),"Technical Team")</f>
        <v>Technical Team</v>
      </c>
      <c r="L5" s="5" t="str">
        <f>IFERROR(__xludf.DUMMYFUNCTION("""COMPUTED_VALUE"""),"FOT Team Leader")</f>
        <v>FOT Team Leader</v>
      </c>
      <c r="M5" s="5" t="str">
        <f>IFERROR(__xludf.DUMMYFUNCTION("""COMPUTED_VALUE"""),"Team 01")</f>
        <v>Team 01</v>
      </c>
      <c r="N5" s="5"/>
      <c r="O5" s="13" t="str">
        <f>IFERROR(__xludf.DUMMYFUNCTION("""COMPUTED_VALUE"""),"https://drive.google.com/file/d/1jPxpc1Q4HsrIw0gH0p60VUIxDjmgsTgW/view?usp=sharing")</f>
        <v>https://drive.google.com/file/d/1jPxpc1Q4HsrIw0gH0p60VUIxDjmgsTgW/view?usp=sharing</v>
      </c>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row>
    <row r="6">
      <c r="A6" s="17">
        <f>IFERROR(__xludf.DUMMYFUNCTION("""COMPUTED_VALUE"""),1.672525126E9)</f>
        <v>1672525126</v>
      </c>
      <c r="B6" s="5" t="str">
        <f>IFERROR(__xludf.DUMMYFUNCTION("""COMPUTED_VALUE"""),"09698806742")</f>
        <v>09698806742</v>
      </c>
      <c r="C6" s="5" t="str">
        <f>IFERROR(__xludf.DUMMYFUNCTION("""COMPUTED_VALUE"""),"Thu♒")</f>
        <v>Thu♒</v>
      </c>
      <c r="D6" s="17">
        <f>IFERROR(__xludf.DUMMYFUNCTION("""COMPUTED_VALUE"""),10.0)</f>
        <v>10</v>
      </c>
      <c r="E6" s="5" t="str">
        <f>IFERROR(__xludf.DUMMYFUNCTION("""COMPUTED_VALUE"""),"VCM")</f>
        <v>VCM</v>
      </c>
      <c r="F6" s="5" t="str">
        <f>IFERROR(__xludf.DUMMYFUNCTION("""COMPUTED_VALUE"""),"Thu Rain Naing")</f>
        <v>Thu Rain Naing</v>
      </c>
      <c r="G6" s="5" t="str">
        <f>IFERROR(__xludf.DUMMYFUNCTION("""COMPUTED_VALUE"""),"VCM----1.2")</f>
        <v>VCM----1.2</v>
      </c>
      <c r="H6" s="5" t="str">
        <f>IFERROR(__xludf.DUMMYFUNCTION("""COMPUTED_VALUE"""),"Thu Rain Naing")</f>
        <v>Thu Rain Naing</v>
      </c>
      <c r="I6" s="5" t="str">
        <f>IFERROR(__xludf.DUMMYFUNCTION("""COMPUTED_VALUE"""),"O&amp;M")</f>
        <v>O&amp;M</v>
      </c>
      <c r="J6" s="5" t="str">
        <f>IFERROR(__xludf.DUMMYFUNCTION("""COMPUTED_VALUE"""),"TNI")</f>
        <v>TNI</v>
      </c>
      <c r="K6" s="24" t="str">
        <f>IFERROR(__xludf.DUMMYFUNCTION("""COMPUTED_VALUE"""),"Technical Team")</f>
        <v>Technical Team</v>
      </c>
      <c r="L6" s="5" t="str">
        <f>IFERROR(__xludf.DUMMYFUNCTION("""COMPUTED_VALUE"""),"FOT Technician")</f>
        <v>FOT Technician</v>
      </c>
      <c r="M6" s="5" t="str">
        <f>IFERROR(__xludf.DUMMYFUNCTION("""COMPUTED_VALUE"""),"Team 01")</f>
        <v>Team 01</v>
      </c>
      <c r="N6" s="5"/>
      <c r="O6" s="13" t="str">
        <f>IFERROR(__xludf.DUMMYFUNCTION("""COMPUTED_VALUE"""),"https://drive.google.com/file/d/1Twx6iEeGXbAGSFEyBtTkchawG7BUwi4g/view?usp=drive_link")</f>
        <v>https://drive.google.com/file/d/1Twx6iEeGXbAGSFEyBtTkchawG7BUwi4g/view?usp=drive_link</v>
      </c>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row>
    <row r="7">
      <c r="A7" s="17">
        <f>IFERROR(__xludf.DUMMYFUNCTION("""COMPUTED_VALUE"""),8.653753857E9)</f>
        <v>8653753857</v>
      </c>
      <c r="B7" s="5" t="str">
        <f>IFERROR(__xludf.DUMMYFUNCTION("""COMPUTED_VALUE"""),"09651315321")</f>
        <v>09651315321</v>
      </c>
      <c r="C7" s="5" t="str">
        <f>IFERROR(__xludf.DUMMYFUNCTION("""COMPUTED_VALUE"""),"PK Ko")</f>
        <v>PK Ko</v>
      </c>
      <c r="D7" s="17">
        <f>IFERROR(__xludf.DUMMYFUNCTION("""COMPUTED_VALUE"""),11.0)</f>
        <v>11</v>
      </c>
      <c r="E7" s="5" t="str">
        <f>IFERROR(__xludf.DUMMYFUNCTION("""COMPUTED_VALUE"""),"VCM")</f>
        <v>VCM</v>
      </c>
      <c r="F7" s="5" t="str">
        <f>IFERROR(__xludf.DUMMYFUNCTION("""COMPUTED_VALUE"""),"Phyo Ko Ko")</f>
        <v>Phyo Ko Ko</v>
      </c>
      <c r="G7" s="5" t="str">
        <f>IFERROR(__xludf.DUMMYFUNCTION("""COMPUTED_VALUE"""),"VCM----1.1")</f>
        <v>VCM----1.1</v>
      </c>
      <c r="H7" s="5" t="str">
        <f>IFERROR(__xludf.DUMMYFUNCTION("""COMPUTED_VALUE"""),"myt_phyoko.ko44")</f>
        <v>myt_phyoko.ko44</v>
      </c>
      <c r="I7" s="5" t="str">
        <f>IFERROR(__xludf.DUMMYFUNCTION("""COMPUTED_VALUE"""),"O&amp;M")</f>
        <v>O&amp;M</v>
      </c>
      <c r="J7" s="5" t="str">
        <f>IFERROR(__xludf.DUMMYFUNCTION("""COMPUTED_VALUE"""),"TNI")</f>
        <v>TNI</v>
      </c>
      <c r="K7" s="24" t="str">
        <f>IFERROR(__xludf.DUMMYFUNCTION("""COMPUTED_VALUE"""),"Technical Team")</f>
        <v>Technical Team</v>
      </c>
      <c r="L7" s="5" t="str">
        <f>IFERROR(__xludf.DUMMYFUNCTION("""COMPUTED_VALUE"""),"Field Technical 1")</f>
        <v>Field Technical 1</v>
      </c>
      <c r="M7" s="5" t="str">
        <f>IFERROR(__xludf.DUMMYFUNCTION("""COMPUTED_VALUE"""),"Team 01")</f>
        <v>Team 01</v>
      </c>
      <c r="N7" s="5"/>
      <c r="O7" s="13" t="str">
        <f>IFERROR(__xludf.DUMMYFUNCTION("""COMPUTED_VALUE"""),"https://drive.google.com/file/d/10UiQSwihtmpBHyY8kTfxTe-6oYTwuN0Z/view?usp=sharing")</f>
        <v>https://drive.google.com/file/d/10UiQSwihtmpBHyY8kTfxTe-6oYTwuN0Z/view?usp=sharing</v>
      </c>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row>
    <row r="8">
      <c r="A8" s="17">
        <f>IFERROR(__xludf.DUMMYFUNCTION("""COMPUTED_VALUE"""),8.101548354E9)</f>
        <v>8101548354</v>
      </c>
      <c r="B8" s="5" t="str">
        <f>IFERROR(__xludf.DUMMYFUNCTION("""COMPUTED_VALUE"""),"09663202252")</f>
        <v>09663202252</v>
      </c>
      <c r="C8" s="5" t="str">
        <f>IFERROR(__xludf.DUMMYFUNCTION("""COMPUTED_VALUE"""),"Xuezzy")</f>
        <v>Xuezzy</v>
      </c>
      <c r="D8" s="17">
        <f>IFERROR(__xludf.DUMMYFUNCTION("""COMPUTED_VALUE"""),12.0)</f>
        <v>12</v>
      </c>
      <c r="E8" s="5" t="str">
        <f>IFERROR(__xludf.DUMMYFUNCTION("""COMPUTED_VALUE"""),"VCM")</f>
        <v>VCM</v>
      </c>
      <c r="F8" s="5" t="str">
        <f>IFERROR(__xludf.DUMMYFUNCTION("""COMPUTED_VALUE"""),"Sai Kar Kar Myo")</f>
        <v>Sai Kar Kar Myo</v>
      </c>
      <c r="G8" s="5" t="str">
        <f>IFERROR(__xludf.DUMMYFUNCTION("""COMPUTED_VALUE"""),"VCM----1.3")</f>
        <v>VCM----1.3</v>
      </c>
      <c r="H8" s="5" t="str">
        <f>IFERROR(__xludf.DUMMYFUNCTION("""COMPUTED_VALUE"""),"Sai Kar Kar Myo")</f>
        <v>Sai Kar Kar Myo</v>
      </c>
      <c r="I8" s="5" t="str">
        <f>IFERROR(__xludf.DUMMYFUNCTION("""COMPUTED_VALUE"""),"O&amp;M")</f>
        <v>O&amp;M</v>
      </c>
      <c r="J8" s="5" t="str">
        <f>IFERROR(__xludf.DUMMYFUNCTION("""COMPUTED_VALUE"""),"O&amp;M")</f>
        <v>O&amp;M</v>
      </c>
      <c r="K8" s="5" t="str">
        <f>IFERROR(__xludf.DUMMYFUNCTION("""COMPUTED_VALUE"""),"Technical Team")</f>
        <v>Technical Team</v>
      </c>
      <c r="L8" s="5" t="str">
        <f>IFERROR(__xludf.DUMMYFUNCTION("""COMPUTED_VALUE"""),"FOT Collaborator")</f>
        <v>FOT Collaborator</v>
      </c>
      <c r="M8" s="5" t="str">
        <f>IFERROR(__xludf.DUMMYFUNCTION("""COMPUTED_VALUE"""),"Team 01")</f>
        <v>Team 01</v>
      </c>
      <c r="N8" s="5"/>
      <c r="O8" s="13" t="str">
        <f>IFERROR(__xludf.DUMMYFUNCTION("""COMPUTED_VALUE"""),"https://drive.google.com/file/d/1Qe69vGDkw2u_NZ-2j1heyyQMPnX10Hux/view?usp=drive_link")</f>
        <v>https://drive.google.com/file/d/1Qe69vGDkw2u_NZ-2j1heyyQMPnX10Hux/view?usp=drive_link</v>
      </c>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row>
    <row r="9">
      <c r="A9" s="17">
        <f>IFERROR(__xludf.DUMMYFUNCTION("""COMPUTED_VALUE"""),5.883329989E9)</f>
        <v>5883329989</v>
      </c>
      <c r="B9" s="5" t="str">
        <f>IFERROR(__xludf.DUMMYFUNCTION("""COMPUTED_VALUE"""),"09676116447")</f>
        <v>09676116447</v>
      </c>
      <c r="C9" s="5" t="str">
        <f>IFERROR(__xludf.DUMMYFUNCTION("""COMPUTED_VALUE"""),"0")</f>
        <v>0</v>
      </c>
      <c r="D9" s="17">
        <f>IFERROR(__xludf.DUMMYFUNCTION("""COMPUTED_VALUE"""),13.0)</f>
        <v>13</v>
      </c>
      <c r="E9" s="5" t="str">
        <f>IFERROR(__xludf.DUMMYFUNCTION("""COMPUTED_VALUE"""),"VCM")</f>
        <v>VCM</v>
      </c>
      <c r="F9" s="5" t="str">
        <f>IFERROR(__xludf.DUMMYFUNCTION("""COMPUTED_VALUE"""),"Phyo Htet Aung")</f>
        <v>Phyo Htet Aung</v>
      </c>
      <c r="G9" s="5" t="str">
        <f>IFERROR(__xludf.DUMMYFUNCTION("""COMPUTED_VALUE"""),"VCM----1.5")</f>
        <v>VCM----1.5</v>
      </c>
      <c r="H9" s="5"/>
      <c r="I9" s="5" t="str">
        <f>IFERROR(__xludf.DUMMYFUNCTION("""COMPUTED_VALUE"""),"O&amp;M")</f>
        <v>O&amp;M</v>
      </c>
      <c r="J9" s="5" t="str">
        <f>IFERROR(__xludf.DUMMYFUNCTION("""COMPUTED_VALUE"""),"TNI")</f>
        <v>TNI</v>
      </c>
      <c r="K9" s="5" t="str">
        <f>IFERROR(__xludf.DUMMYFUNCTION("""COMPUTED_VALUE"""),"Technical Team")</f>
        <v>Technical Team</v>
      </c>
      <c r="L9" s="5" t="str">
        <f>IFERROR(__xludf.DUMMYFUNCTION("""COMPUTED_VALUE"""),"Field Technical 1")</f>
        <v>Field Technical 1</v>
      </c>
      <c r="M9" s="5" t="str">
        <f>IFERROR(__xludf.DUMMYFUNCTION("""COMPUTED_VALUE"""),"Team 01")</f>
        <v>Team 01</v>
      </c>
      <c r="N9" s="5"/>
      <c r="O9" s="13" t="str">
        <f>IFERROR(__xludf.DUMMYFUNCTION("""COMPUTED_VALUE"""),"https://drive.google.com/file/d/1Qe69vGDkw2u_NZ-2j1heyyQMPnX10Hux/view?usp=drive_link")</f>
        <v>https://drive.google.com/file/d/1Qe69vGDkw2u_NZ-2j1heyyQMPnX10Hux/view?usp=drive_link</v>
      </c>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row>
    <row r="10">
      <c r="A10" s="17"/>
      <c r="B10" s="5" t="str">
        <f>IFERROR(__xludf.DUMMYFUNCTION("""COMPUTED_VALUE"""),"1 Not Mytel")</f>
        <v>1 Not Mytel</v>
      </c>
      <c r="C10" s="17"/>
      <c r="D10" s="17">
        <f>IFERROR(__xludf.DUMMYFUNCTION("""COMPUTED_VALUE"""),14.0)</f>
        <v>14</v>
      </c>
      <c r="E10" s="5" t="str">
        <f>IFERROR(__xludf.DUMMYFUNCTION("""COMPUTED_VALUE"""),"VCM")</f>
        <v>VCM</v>
      </c>
      <c r="F10" s="5" t="str">
        <f>IFERROR(__xludf.DUMMYFUNCTION("""COMPUTED_VALUE"""),"Aung Min Paing")</f>
        <v>Aung Min Paing</v>
      </c>
      <c r="G10" s="5" t="str">
        <f>IFERROR(__xludf.DUMMYFUNCTION("""COMPUTED_VALUE"""),"VCM----1.6")</f>
        <v>VCM----1.6</v>
      </c>
      <c r="H10" s="5"/>
      <c r="I10" s="5" t="str">
        <f>IFERROR(__xludf.DUMMYFUNCTION("""COMPUTED_VALUE"""),"O&amp;M")</f>
        <v>O&amp;M</v>
      </c>
      <c r="J10" s="5" t="str">
        <f>IFERROR(__xludf.DUMMYFUNCTION("""COMPUTED_VALUE"""),"TNI")</f>
        <v>TNI</v>
      </c>
      <c r="K10" s="24" t="str">
        <f>IFERROR(__xludf.DUMMYFUNCTION("""COMPUTED_VALUE"""),"Technical Team")</f>
        <v>Technical Team</v>
      </c>
      <c r="L10" s="5" t="str">
        <f>IFERROR(__xludf.DUMMYFUNCTION("""COMPUTED_VALUE"""),"FOT Collaborator")</f>
        <v>FOT Collaborator</v>
      </c>
      <c r="M10" s="5" t="str">
        <f>IFERROR(__xludf.DUMMYFUNCTION("""COMPUTED_VALUE"""),"Team 01")</f>
        <v>Team 01</v>
      </c>
      <c r="N10" s="5"/>
      <c r="O10" s="13" t="str">
        <f>IFERROR(__xludf.DUMMYFUNCTION("""COMPUTED_VALUE"""),"https://drive.google.com/file/d/1OiS0FIcd7GkjGbbiRkUYJl58ljHrFBQC/view?usp=drive_link")</f>
        <v>https://drive.google.com/file/d/1OiS0FIcd7GkjGbbiRkUYJl58ljHrFBQC/view?usp=drive_link</v>
      </c>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row>
    <row r="11">
      <c r="A11" s="17"/>
      <c r="B11" s="5" t="str">
        <f>IFERROR(__xludf.DUMMYFUNCTION("""COMPUTED_VALUE"""),"09670568272")</f>
        <v>09670568272</v>
      </c>
      <c r="C11" s="5"/>
      <c r="D11" s="17">
        <f>IFERROR(__xludf.DUMMYFUNCTION("""COMPUTED_VALUE"""),36.0)</f>
        <v>36</v>
      </c>
      <c r="E11" s="5" t="str">
        <f>IFERROR(__xludf.DUMMYFUNCTION("""COMPUTED_VALUE"""),"VCM")</f>
        <v>VCM</v>
      </c>
      <c r="F11" s="5" t="str">
        <f>IFERROR(__xludf.DUMMYFUNCTION("""COMPUTED_VALUE"""),"Aung La Pyae Oo")</f>
        <v>Aung La Pyae Oo</v>
      </c>
      <c r="G11" s="5" t="str">
        <f>IFERROR(__xludf.DUMMYFUNCTION("""COMPUTED_VALUE"""),"VCM----1.7")</f>
        <v>VCM----1.7</v>
      </c>
      <c r="H11" s="5"/>
      <c r="I11" s="5" t="str">
        <f>IFERROR(__xludf.DUMMYFUNCTION("""COMPUTED_VALUE"""),"O&amp;M")</f>
        <v>O&amp;M</v>
      </c>
      <c r="J11" s="5" t="str">
        <f>IFERROR(__xludf.DUMMYFUNCTION("""COMPUTED_VALUE"""),"TNI")</f>
        <v>TNI</v>
      </c>
      <c r="K11" s="24" t="str">
        <f>IFERROR(__xludf.DUMMYFUNCTION("""COMPUTED_VALUE"""),"Technical Team")</f>
        <v>Technical Team</v>
      </c>
      <c r="L11" s="5" t="str">
        <f>IFERROR(__xludf.DUMMYFUNCTION("""COMPUTED_VALUE"""),"FOT Collaborator")</f>
        <v>FOT Collaborator</v>
      </c>
      <c r="M11" s="5" t="str">
        <f>IFERROR(__xludf.DUMMYFUNCTION("""COMPUTED_VALUE"""),"Team 01")</f>
        <v>Team 01</v>
      </c>
      <c r="N11" s="5"/>
      <c r="O11" s="13" t="str">
        <f>IFERROR(__xludf.DUMMYFUNCTION("""COMPUTED_VALUE"""),"https://drive.google.com/file/d/1denPeXiXWpybA09-ZDPe0jwfiDtbUVyq/view?usp=drive_link")</f>
        <v>https://drive.google.com/file/d/1denPeXiXWpybA09-ZDPe0jwfiDtbUVyq/view?usp=drive_link</v>
      </c>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row>
    <row r="12">
      <c r="A12" s="17"/>
      <c r="B12" s="5"/>
      <c r="C12" s="5"/>
      <c r="D12" s="17"/>
      <c r="E12" s="5" t="str">
        <f>IFERROR(__xludf.DUMMYFUNCTION("""COMPUTED_VALUE"""),"VCM")</f>
        <v>VCM</v>
      </c>
      <c r="F12" s="5" t="str">
        <f>IFERROR(__xludf.DUMMYFUNCTION("""COMPUTED_VALUE"""),"Aung Min Paing")</f>
        <v>Aung Min Paing</v>
      </c>
      <c r="G12" s="5"/>
      <c r="H12" s="5"/>
      <c r="I12" s="5" t="str">
        <f>IFERROR(__xludf.DUMMYFUNCTION("""COMPUTED_VALUE"""),"O&amp;M")</f>
        <v>O&amp;M</v>
      </c>
      <c r="J12" s="5" t="str">
        <f>IFERROR(__xludf.DUMMYFUNCTION("""COMPUTED_VALUE"""),"TNI")</f>
        <v>TNI</v>
      </c>
      <c r="K12" s="5" t="str">
        <f>IFERROR(__xludf.DUMMYFUNCTION("""COMPUTED_VALUE"""),"Technical Team")</f>
        <v>Technical Team</v>
      </c>
      <c r="L12" s="5" t="str">
        <f>IFERROR(__xludf.DUMMYFUNCTION("""COMPUTED_VALUE"""),"FOT Collaborator")</f>
        <v>FOT Collaborator</v>
      </c>
      <c r="M12" s="5" t="str">
        <f>IFERROR(__xludf.DUMMYFUNCTION("""COMPUTED_VALUE"""),"Team 01")</f>
        <v>Team 01</v>
      </c>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row>
    <row r="13">
      <c r="A13" s="5">
        <f>IFERROR(__xludf.DUMMYFUNCTION("""COMPUTED_VALUE"""),8.296243972E9)</f>
        <v>8296243972</v>
      </c>
      <c r="B13" s="5" t="str">
        <f>IFERROR(__xludf.DUMMYFUNCTION("""COMPUTED_VALUE"""),"09699011167")</f>
        <v>09699011167</v>
      </c>
      <c r="C13" s="5" t="str">
        <f>IFERROR(__xludf.DUMMYFUNCTION("""COMPUTED_VALUE"""),"0")</f>
        <v>0</v>
      </c>
      <c r="D13" s="17">
        <f>IFERROR(__xludf.DUMMYFUNCTION("""COMPUTED_VALUE"""),15.0)</f>
        <v>15</v>
      </c>
      <c r="E13" s="5" t="str">
        <f>IFERROR(__xludf.DUMMYFUNCTION("""COMPUTED_VALUE"""),"VCM")</f>
        <v>VCM</v>
      </c>
      <c r="F13" s="5" t="str">
        <f>IFERROR(__xludf.DUMMYFUNCTION("""COMPUTED_VALUE"""),"Win Htet Aung")</f>
        <v>Win Htet Aung</v>
      </c>
      <c r="G13" s="5" t="str">
        <f>IFERROR(__xludf.DUMMYFUNCTION("""COMPUTED_VALUE"""),"VCM860513")</f>
        <v>VCM860513</v>
      </c>
      <c r="H13" s="5" t="str">
        <f>IFERROR(__xludf.DUMMYFUNCTION("""COMPUTED_VALUE"""),"myt_winhtet.aung11")</f>
        <v>myt_winhtet.aung11</v>
      </c>
      <c r="I13" s="5" t="str">
        <f>IFERROR(__xludf.DUMMYFUNCTION("""COMPUTED_VALUE"""),"O&amp;M")</f>
        <v>O&amp;M</v>
      </c>
      <c r="J13" s="5" t="str">
        <f>IFERROR(__xludf.DUMMYFUNCTION("""COMPUTED_VALUE"""),"TNI")</f>
        <v>TNI</v>
      </c>
      <c r="K13" s="5" t="str">
        <f>IFERROR(__xludf.DUMMYFUNCTION("""COMPUTED_VALUE"""),"Technical Team")</f>
        <v>Technical Team</v>
      </c>
      <c r="L13" s="5" t="str">
        <f>IFERROR(__xludf.DUMMYFUNCTION("""COMPUTED_VALUE"""),"FOT Collaborator")</f>
        <v>FOT Collaborator</v>
      </c>
      <c r="M13" s="5" t="str">
        <f>IFERROR(__xludf.DUMMYFUNCTION("""COMPUTED_VALUE"""),"Team 02")</f>
        <v>Team 02</v>
      </c>
      <c r="N13" s="5"/>
      <c r="O13" s="13" t="str">
        <f>IFERROR(__xludf.DUMMYFUNCTION("""COMPUTED_VALUE"""),"https://drive.google.com/file/d/1l4UWMc68Z7TTYbEj4IXFbHIXYVXt9fb-/view?usp=drive_link")</f>
        <v>https://drive.google.com/file/d/1l4UWMc68Z7TTYbEj4IXFbHIXYVXt9fb-/view?usp=drive_link</v>
      </c>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row>
    <row r="14">
      <c r="A14" s="17">
        <f>IFERROR(__xludf.DUMMYFUNCTION("""COMPUTED_VALUE"""),6.555381983E9)</f>
        <v>6555381983</v>
      </c>
      <c r="B14" s="5" t="str">
        <f>IFERROR(__xludf.DUMMYFUNCTION("""COMPUTED_VALUE"""),"09672809127")</f>
        <v>09672809127</v>
      </c>
      <c r="C14" s="5" t="str">
        <f>IFERROR(__xludf.DUMMYFUNCTION("""COMPUTED_VALUE"""),"Maung Maung (DPM031105)")</f>
        <v>Maung Maung (DPM031105)</v>
      </c>
      <c r="D14" s="17">
        <f>IFERROR(__xludf.DUMMYFUNCTION("""COMPUTED_VALUE"""),16.0)</f>
        <v>16</v>
      </c>
      <c r="E14" s="5" t="str">
        <f>IFERROR(__xludf.DUMMYFUNCTION("""COMPUTED_VALUE"""),"VCM")</f>
        <v>VCM</v>
      </c>
      <c r="F14" s="5" t="str">
        <f>IFERROR(__xludf.DUMMYFUNCTION("""COMPUTED_VALUE"""),"Maung Maung")</f>
        <v>Maung Maung</v>
      </c>
      <c r="G14" s="5" t="str">
        <f>IFERROR(__xludf.DUMMYFUNCTION("""COMPUTED_VALUE"""),"VCM289631")</f>
        <v>VCM289631</v>
      </c>
      <c r="H14" s="5" t="str">
        <f>IFERROR(__xludf.DUMMYFUNCTION("""COMPUTED_VALUE"""),"myt_maung.maung11")</f>
        <v>myt_maung.maung11</v>
      </c>
      <c r="I14" s="5" t="str">
        <f>IFERROR(__xludf.DUMMYFUNCTION("""COMPUTED_VALUE"""),"O&amp;M")</f>
        <v>O&amp;M</v>
      </c>
      <c r="J14" s="5" t="str">
        <f>IFERROR(__xludf.DUMMYFUNCTION("""COMPUTED_VALUE"""),"TNI")</f>
        <v>TNI</v>
      </c>
      <c r="K14" s="5" t="str">
        <f>IFERROR(__xludf.DUMMYFUNCTION("""COMPUTED_VALUE"""),"Technical Team")</f>
        <v>Technical Team</v>
      </c>
      <c r="L14" s="5" t="str">
        <f>IFERROR(__xludf.DUMMYFUNCTION("""COMPUTED_VALUE"""),"Field Technical 1")</f>
        <v>Field Technical 1</v>
      </c>
      <c r="M14" s="5" t="str">
        <f>IFERROR(__xludf.DUMMYFUNCTION("""COMPUTED_VALUE"""),"Team 02")</f>
        <v>Team 02</v>
      </c>
      <c r="N14" s="5"/>
      <c r="O14" s="13" t="str">
        <f>IFERROR(__xludf.DUMMYFUNCTION("""COMPUTED_VALUE"""),"https://drive.google.com/file/d/1_e7g0XS_ntYbwWzh8ug01yKMsOIt2_2J/view?usp=drive_link")</f>
        <v>https://drive.google.com/file/d/1_e7g0XS_ntYbwWzh8ug01yKMsOIt2_2J/view?usp=drive_link</v>
      </c>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row>
    <row r="15">
      <c r="A15" s="5">
        <f>IFERROR(__xludf.DUMMYFUNCTION("""COMPUTED_VALUE"""),6.234932607E9)</f>
        <v>6234932607</v>
      </c>
      <c r="B15" s="5" t="str">
        <f>IFERROR(__xludf.DUMMYFUNCTION("""COMPUTED_VALUE"""),"09692016722")</f>
        <v>09692016722</v>
      </c>
      <c r="C15" s="5" t="str">
        <f>IFERROR(__xludf.DUMMYFUNCTION("""COMPUTED_VALUE"""),"Pyi♍️")</f>
        <v>Pyi♍️</v>
      </c>
      <c r="D15" s="17">
        <f>IFERROR(__xludf.DUMMYFUNCTION("""COMPUTED_VALUE"""),17.0)</f>
        <v>17</v>
      </c>
      <c r="E15" s="5" t="str">
        <f>IFERROR(__xludf.DUMMYFUNCTION("""COMPUTED_VALUE"""),"VCM")</f>
        <v>VCM</v>
      </c>
      <c r="F15" s="5" t="str">
        <f>IFERROR(__xludf.DUMMYFUNCTION("""COMPUTED_VALUE"""),"Pyi Kyaw Aung")</f>
        <v>Pyi Kyaw Aung</v>
      </c>
      <c r="G15" s="5" t="str">
        <f>IFERROR(__xludf.DUMMYFUNCTION("""COMPUTED_VALUE"""),"VCM818105")</f>
        <v>VCM818105</v>
      </c>
      <c r="H15" s="5" t="str">
        <f>IFERROR(__xludf.DUMMYFUNCTION("""COMPUTED_VALUE"""),"myt_pyikyaw.aung")</f>
        <v>myt_pyikyaw.aung</v>
      </c>
      <c r="I15" s="5" t="str">
        <f>IFERROR(__xludf.DUMMYFUNCTION("""COMPUTED_VALUE"""),"O&amp;M")</f>
        <v>O&amp;M</v>
      </c>
      <c r="J15" s="5" t="str">
        <f>IFERROR(__xludf.DUMMYFUNCTION("""COMPUTED_VALUE"""),"TNI")</f>
        <v>TNI</v>
      </c>
      <c r="K15" s="5" t="str">
        <f>IFERROR(__xludf.DUMMYFUNCTION("""COMPUTED_VALUE"""),"Technical Team")</f>
        <v>Technical Team</v>
      </c>
      <c r="L15" s="5" t="str">
        <f>IFERROR(__xludf.DUMMYFUNCTION("""COMPUTED_VALUE"""),"Field Technical 1")</f>
        <v>Field Technical 1</v>
      </c>
      <c r="M15" s="5" t="str">
        <f>IFERROR(__xludf.DUMMYFUNCTION("""COMPUTED_VALUE"""),"Team 02")</f>
        <v>Team 02</v>
      </c>
      <c r="N15" s="5"/>
      <c r="O15" s="13" t="str">
        <f>IFERROR(__xludf.DUMMYFUNCTION("""COMPUTED_VALUE"""),"https://drive.google.com/file/d/1uhdRUF3hpLu1nU1uuVk7SyFVytq-3Wp0/view?usp=drive_link")</f>
        <v>https://drive.google.com/file/d/1uhdRUF3hpLu1nU1uuVk7SyFVytq-3Wp0/view?usp=drive_link</v>
      </c>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row>
    <row r="16">
      <c r="A16" s="5">
        <f>IFERROR(__xludf.DUMMYFUNCTION("""COMPUTED_VALUE"""),2.01081058E9)</f>
        <v>2010810580</v>
      </c>
      <c r="B16" s="5" t="str">
        <f>IFERROR(__xludf.DUMMYFUNCTION("""COMPUTED_VALUE"""),"09687906307")</f>
        <v>09687906307</v>
      </c>
      <c r="C16" s="5" t="str">
        <f>IFERROR(__xludf.DUMMYFUNCTION("""COMPUTED_VALUE"""),"0")</f>
        <v>0</v>
      </c>
      <c r="D16" s="17">
        <f>IFERROR(__xludf.DUMMYFUNCTION("""COMPUTED_VALUE"""),18.0)</f>
        <v>18</v>
      </c>
      <c r="E16" s="5" t="str">
        <f>IFERROR(__xludf.DUMMYFUNCTION("""COMPUTED_VALUE"""),"VCM")</f>
        <v>VCM</v>
      </c>
      <c r="F16" s="5" t="str">
        <f>IFERROR(__xludf.DUMMYFUNCTION("""COMPUTED_VALUE"""),"Wanna Oo")</f>
        <v>Wanna Oo</v>
      </c>
      <c r="G16" s="5" t="str">
        <f>IFERROR(__xludf.DUMMYFUNCTION("""COMPUTED_VALUE"""),"VCM846818")</f>
        <v>VCM846818</v>
      </c>
      <c r="H16" s="5" t="str">
        <f>IFERROR(__xludf.DUMMYFUNCTION("""COMPUTED_VALUE"""),"myt_wanna.oo2")</f>
        <v>myt_wanna.oo2</v>
      </c>
      <c r="I16" s="5" t="str">
        <f>IFERROR(__xludf.DUMMYFUNCTION("""COMPUTED_VALUE"""),"O&amp;M")</f>
        <v>O&amp;M</v>
      </c>
      <c r="J16" s="5" t="str">
        <f>IFERROR(__xludf.DUMMYFUNCTION("""COMPUTED_VALUE"""),"TNI")</f>
        <v>TNI</v>
      </c>
      <c r="K16" s="24" t="str">
        <f>IFERROR(__xludf.DUMMYFUNCTION("""COMPUTED_VALUE"""),"Technical Team")</f>
        <v>Technical Team</v>
      </c>
      <c r="L16" s="5" t="str">
        <f>IFERROR(__xludf.DUMMYFUNCTION("""COMPUTED_VALUE"""),"Field Technical 1")</f>
        <v>Field Technical 1</v>
      </c>
      <c r="M16" s="5" t="str">
        <f>IFERROR(__xludf.DUMMYFUNCTION("""COMPUTED_VALUE"""),"Team 02")</f>
        <v>Team 02</v>
      </c>
      <c r="N16" s="5"/>
      <c r="O16" s="13" t="str">
        <f>IFERROR(__xludf.DUMMYFUNCTION("""COMPUTED_VALUE"""),"https://drive.google.com/file/d/1qwKfrCKwrOg9Pw8hgYXuvyQ2WRgIxdi2/view?usp=drive_link")</f>
        <v>https://drive.google.com/file/d/1qwKfrCKwrOg9Pw8hgYXuvyQ2WRgIxdi2/view?usp=drive_link</v>
      </c>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row>
    <row r="17">
      <c r="A17" s="5">
        <f>IFERROR(__xludf.DUMMYFUNCTION("""COMPUTED_VALUE"""),7.423623114E9)</f>
        <v>7423623114</v>
      </c>
      <c r="B17" s="5" t="str">
        <f>IFERROR(__xludf.DUMMYFUNCTION("""COMPUTED_VALUE"""),"09677553749")</f>
        <v>09677553749</v>
      </c>
      <c r="C17" s="17" t="str">
        <f>IFERROR(__xludf.DUMMYFUNCTION("""COMPUTED_VALUE"""),"Ye Lin")</f>
        <v>Ye Lin</v>
      </c>
      <c r="D17" s="17">
        <f>IFERROR(__xludf.DUMMYFUNCTION("""COMPUTED_VALUE"""),19.0)</f>
        <v>19</v>
      </c>
      <c r="E17" s="5" t="str">
        <f>IFERROR(__xludf.DUMMYFUNCTION("""COMPUTED_VALUE"""),"VCM")</f>
        <v>VCM</v>
      </c>
      <c r="F17" s="5" t="str">
        <f>IFERROR(__xludf.DUMMYFUNCTION("""COMPUTED_VALUE"""),"Ye Lin")</f>
        <v>Ye Lin</v>
      </c>
      <c r="G17" s="5" t="str">
        <f>IFERROR(__xludf.DUMMYFUNCTION("""COMPUTED_VALUE"""),"VCM818129")</f>
        <v>VCM818129</v>
      </c>
      <c r="H17" s="5" t="str">
        <f>IFERROR(__xludf.DUMMYFUNCTION("""COMPUTED_VALUE"""),"myt_ye.lin22")</f>
        <v>myt_ye.lin22</v>
      </c>
      <c r="I17" s="5" t="str">
        <f>IFERROR(__xludf.DUMMYFUNCTION("""COMPUTED_VALUE"""),"O&amp;M")</f>
        <v>O&amp;M</v>
      </c>
      <c r="J17" s="5" t="str">
        <f>IFERROR(__xludf.DUMMYFUNCTION("""COMPUTED_VALUE"""),"TNI")</f>
        <v>TNI</v>
      </c>
      <c r="K17" s="24" t="str">
        <f>IFERROR(__xludf.DUMMYFUNCTION("""COMPUTED_VALUE"""),"Technical Team")</f>
        <v>Technical Team</v>
      </c>
      <c r="L17" s="5" t="str">
        <f>IFERROR(__xludf.DUMMYFUNCTION("""COMPUTED_VALUE"""),"FOT Collaborator")</f>
        <v>FOT Collaborator</v>
      </c>
      <c r="M17" s="5" t="str">
        <f>IFERROR(__xludf.DUMMYFUNCTION("""COMPUTED_VALUE"""),"Team 02")</f>
        <v>Team 02</v>
      </c>
      <c r="N17" s="35"/>
      <c r="O17" s="13" t="str">
        <f>IFERROR(__xludf.DUMMYFUNCTION("""COMPUTED_VALUE"""),"https://drive.google.com/file/d/1reRJPlW2lzIv0KUuxdH33buz-yZp32Wy/view?usp=drive_link")</f>
        <v>https://drive.google.com/file/d/1reRJPlW2lzIv0KUuxdH33buz-yZp32Wy/view?usp=drive_link</v>
      </c>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row>
    <row r="18">
      <c r="A18" s="17">
        <f>IFERROR(__xludf.DUMMYFUNCTION("""COMPUTED_VALUE"""),1.957172852E9)</f>
        <v>1957172852</v>
      </c>
      <c r="B18" s="5" t="str">
        <f>IFERROR(__xludf.DUMMYFUNCTION("""COMPUTED_VALUE"""),"09693031909")</f>
        <v>09693031909</v>
      </c>
      <c r="C18" s="17" t="str">
        <f>IFERROR(__xludf.DUMMYFUNCTION("""COMPUTED_VALUE"""),"0")</f>
        <v>0</v>
      </c>
      <c r="D18" s="17">
        <f>IFERROR(__xludf.DUMMYFUNCTION("""COMPUTED_VALUE"""),20.0)</f>
        <v>20</v>
      </c>
      <c r="E18" s="5" t="str">
        <f>IFERROR(__xludf.DUMMYFUNCTION("""COMPUTED_VALUE"""),"VCM")</f>
        <v>VCM</v>
      </c>
      <c r="F18" s="5" t="str">
        <f>IFERROR(__xludf.DUMMYFUNCTION("""COMPUTED_VALUE"""),"Nay Myo Thu")</f>
        <v>Nay Myo Thu</v>
      </c>
      <c r="G18" s="5" t="str">
        <f>IFERROR(__xludf.DUMMYFUNCTION("""COMPUTED_VALUE"""),"VCM289610")</f>
        <v>VCM289610</v>
      </c>
      <c r="H18" s="5" t="str">
        <f>IFERROR(__xludf.DUMMYFUNCTION("""COMPUTED_VALUE"""),"myt_naymyo.thu")</f>
        <v>myt_naymyo.thu</v>
      </c>
      <c r="I18" s="5" t="str">
        <f>IFERROR(__xludf.DUMMYFUNCTION("""COMPUTED_VALUE"""),"O&amp;M")</f>
        <v>O&amp;M</v>
      </c>
      <c r="J18" s="5" t="str">
        <f>IFERROR(__xludf.DUMMYFUNCTION("""COMPUTED_VALUE"""),"TNI")</f>
        <v>TNI</v>
      </c>
      <c r="K18" s="5" t="str">
        <f>IFERROR(__xludf.DUMMYFUNCTION("""COMPUTED_VALUE"""),"Technical Team")</f>
        <v>Technical Team</v>
      </c>
      <c r="L18" s="5" t="str">
        <f>IFERROR(__xludf.DUMMYFUNCTION("""COMPUTED_VALUE"""),"FOT Team Leader")</f>
        <v>FOT Team Leader</v>
      </c>
      <c r="M18" s="5" t="str">
        <f>IFERROR(__xludf.DUMMYFUNCTION("""COMPUTED_VALUE"""),"Team 02")</f>
        <v>Team 02</v>
      </c>
      <c r="N18" s="5"/>
      <c r="O18" s="13" t="str">
        <f>IFERROR(__xludf.DUMMYFUNCTION("""COMPUTED_VALUE"""),"https://drive.google.com/file/d/1A2XubJEB9qDyUQT6lF1bn2E8HnEyU1Is/view?usp=drive_link")</f>
        <v>https://drive.google.com/file/d/1A2XubJEB9qDyUQT6lF1bn2E8HnEyU1Is/view?usp=drive_link</v>
      </c>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row>
    <row r="19">
      <c r="A19" s="17">
        <f>IFERROR(__xludf.DUMMYFUNCTION("""COMPUTED_VALUE"""),6.663540096E9)</f>
        <v>6663540096</v>
      </c>
      <c r="B19" s="5" t="str">
        <f>IFERROR(__xludf.DUMMYFUNCTION("""COMPUTED_VALUE"""),"09687922272")</f>
        <v>09687922272</v>
      </c>
      <c r="C19" s="5" t="str">
        <f>IFERROR(__xludf.DUMMYFUNCTION("""COMPUTED_VALUE"""),"0")</f>
        <v>0</v>
      </c>
      <c r="D19" s="17">
        <f>IFERROR(__xludf.DUMMYFUNCTION("""COMPUTED_VALUE"""),21.0)</f>
        <v>21</v>
      </c>
      <c r="E19" s="5" t="str">
        <f>IFERROR(__xludf.DUMMYFUNCTION("""COMPUTED_VALUE"""),"VCM")</f>
        <v>VCM</v>
      </c>
      <c r="F19" s="5" t="str">
        <f>IFERROR(__xludf.DUMMYFUNCTION("""COMPUTED_VALUE"""),"Min Paing Oo")</f>
        <v>Min Paing Oo</v>
      </c>
      <c r="G19" s="5" t="str">
        <f>IFERROR(__xludf.DUMMYFUNCTION("""COMPUTED_VALUE"""),"VCM290207")</f>
        <v>VCM290207</v>
      </c>
      <c r="H19" s="5" t="str">
        <f>IFERROR(__xludf.DUMMYFUNCTION("""COMPUTED_VALUE"""),"myt_minpaing.oo")</f>
        <v>myt_minpaing.oo</v>
      </c>
      <c r="I19" s="5" t="str">
        <f>IFERROR(__xludf.DUMMYFUNCTION("""COMPUTED_VALUE"""),"O&amp;M")</f>
        <v>O&amp;M</v>
      </c>
      <c r="J19" s="5" t="str">
        <f>IFERROR(__xludf.DUMMYFUNCTION("""COMPUTED_VALUE"""),"TNI")</f>
        <v>TNI</v>
      </c>
      <c r="K19" s="5" t="str">
        <f>IFERROR(__xludf.DUMMYFUNCTION("""COMPUTED_VALUE"""),"Technical Team")</f>
        <v>Technical Team</v>
      </c>
      <c r="L19" s="5" t="str">
        <f>IFERROR(__xludf.DUMMYFUNCTION("""COMPUTED_VALUE"""),"FOT Technician")</f>
        <v>FOT Technician</v>
      </c>
      <c r="M19" s="5" t="str">
        <f>IFERROR(__xludf.DUMMYFUNCTION("""COMPUTED_VALUE"""),"Team 02")</f>
        <v>Team 02</v>
      </c>
      <c r="N19" s="5"/>
      <c r="O19" s="13" t="str">
        <f>IFERROR(__xludf.DUMMYFUNCTION("""COMPUTED_VALUE"""),"https://drive.google.com/file/d/1zSDvDpgWX_HSoENjb0zYTax1ozfPtObx/view?usp=sharing")</f>
        <v>https://drive.google.com/file/d/1zSDvDpgWX_HSoENjb0zYTax1ozfPtObx/view?usp=sharing</v>
      </c>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row>
    <row r="20">
      <c r="A20" s="17">
        <f>IFERROR(__xludf.DUMMYFUNCTION("""COMPUTED_VALUE"""),7.841929216E9)</f>
        <v>7841929216</v>
      </c>
      <c r="B20" s="5" t="str">
        <f>IFERROR(__xludf.DUMMYFUNCTION("""COMPUTED_VALUE"""),"1 Not Mytel")</f>
        <v>1 Not Mytel</v>
      </c>
      <c r="C20" s="5" t="str">
        <f>IFERROR(__xludf.DUMMYFUNCTION("""COMPUTED_VALUE"""),"Aye Min Soe Soe")</f>
        <v>Aye Min Soe Soe</v>
      </c>
      <c r="D20" s="17">
        <f>IFERROR(__xludf.DUMMYFUNCTION("""COMPUTED_VALUE"""),22.0)</f>
        <v>22</v>
      </c>
      <c r="E20" s="5" t="str">
        <f>IFERROR(__xludf.DUMMYFUNCTION("""COMPUTED_VALUE"""),"VCM")</f>
        <v>VCM</v>
      </c>
      <c r="F20" s="5" t="str">
        <f>IFERROR(__xludf.DUMMYFUNCTION("""COMPUTED_VALUE"""),"Aye Min Soe")</f>
        <v>Aye Min Soe</v>
      </c>
      <c r="G20" s="5" t="str">
        <f>IFERROR(__xludf.DUMMYFUNCTION("""COMPUTED_VALUE"""),"VCM----5.1")</f>
        <v>VCM----5.1</v>
      </c>
      <c r="H20" s="5" t="str">
        <f>IFERROR(__xludf.DUMMYFUNCTION("""COMPUTED_VALUE"""),"Aye Min Soe")</f>
        <v>Aye Min Soe</v>
      </c>
      <c r="I20" s="5" t="str">
        <f>IFERROR(__xludf.DUMMYFUNCTION("""COMPUTED_VALUE"""),"O&amp;M")</f>
        <v>O&amp;M</v>
      </c>
      <c r="J20" s="5" t="str">
        <f>IFERROR(__xludf.DUMMYFUNCTION("""COMPUTED_VALUE"""),"TNI")</f>
        <v>TNI</v>
      </c>
      <c r="K20" s="5" t="str">
        <f>IFERROR(__xludf.DUMMYFUNCTION("""COMPUTED_VALUE"""),"Technical Team")</f>
        <v>Technical Team</v>
      </c>
      <c r="L20" s="5" t="str">
        <f>IFERROR(__xludf.DUMMYFUNCTION("""COMPUTED_VALUE"""),"FOT Collaborator")</f>
        <v>FOT Collaborator</v>
      </c>
      <c r="M20" s="5" t="str">
        <f>IFERROR(__xludf.DUMMYFUNCTION("""COMPUTED_VALUE"""),"Team 02")</f>
        <v>Team 02</v>
      </c>
      <c r="N20" s="5"/>
      <c r="O20" s="13" t="str">
        <f>IFERROR(__xludf.DUMMYFUNCTION("""COMPUTED_VALUE"""),"https://drive.google.com/file/d/1yuELjU51dNPvygitNdmzxCmhy70mSLh7/view?usp=drive_link")</f>
        <v>https://drive.google.com/file/d/1yuELjU51dNPvygitNdmzxCmhy70mSLh7/view?usp=drive_link</v>
      </c>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row>
    <row r="21">
      <c r="A21" s="17"/>
      <c r="B21" s="5" t="str">
        <f>IFERROR(__xludf.DUMMYFUNCTION("""COMPUTED_VALUE"""),"09685641808")</f>
        <v>09685641808</v>
      </c>
      <c r="C21" s="17" t="str">
        <f>IFERROR(__xludf.DUMMYFUNCTION("""COMPUTED_VALUE"""),"0")</f>
        <v>0</v>
      </c>
      <c r="D21" s="17">
        <f>IFERROR(__xludf.DUMMYFUNCTION("""COMPUTED_VALUE"""),23.0)</f>
        <v>23</v>
      </c>
      <c r="E21" s="5" t="str">
        <f>IFERROR(__xludf.DUMMYFUNCTION("""COMPUTED_VALUE"""),"VCM")</f>
        <v>VCM</v>
      </c>
      <c r="F21" s="5" t="str">
        <f>IFERROR(__xludf.DUMMYFUNCTION("""COMPUTED_VALUE"""),"Si Thu Ye Htun")</f>
        <v>Si Thu Ye Htun</v>
      </c>
      <c r="G21" s="5" t="str">
        <f>IFERROR(__xludf.DUMMYFUNCTION("""COMPUTED_VALUE"""),"VCM----5.2")</f>
        <v>VCM----5.2</v>
      </c>
      <c r="H21" s="5"/>
      <c r="I21" s="5" t="str">
        <f>IFERROR(__xludf.DUMMYFUNCTION("""COMPUTED_VALUE"""),"O&amp;M")</f>
        <v>O&amp;M</v>
      </c>
      <c r="J21" s="5" t="str">
        <f>IFERROR(__xludf.DUMMYFUNCTION("""COMPUTED_VALUE"""),"TNI")</f>
        <v>TNI</v>
      </c>
      <c r="K21" s="5" t="str">
        <f>IFERROR(__xludf.DUMMYFUNCTION("""COMPUTED_VALUE"""),"Technical Team")</f>
        <v>Technical Team</v>
      </c>
      <c r="L21" s="5" t="str">
        <f>IFERROR(__xludf.DUMMYFUNCTION("""COMPUTED_VALUE"""),"FOT Collaborator")</f>
        <v>FOT Collaborator</v>
      </c>
      <c r="M21" s="5" t="str">
        <f>IFERROR(__xludf.DUMMYFUNCTION("""COMPUTED_VALUE"""),"Team 02")</f>
        <v>Team 02</v>
      </c>
      <c r="N21" s="5"/>
      <c r="O21" s="13" t="str">
        <f>IFERROR(__xludf.DUMMYFUNCTION("""COMPUTED_VALUE"""),"https://drive.google.com/file/d/11iBWZ8mvHzG3jTBsXdjkR215ZLL365v5/view?usp=drive_link")</f>
        <v>https://drive.google.com/file/d/11iBWZ8mvHzG3jTBsXdjkR215ZLL365v5/view?usp=drive_link</v>
      </c>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row>
    <row r="22">
      <c r="A22" s="5">
        <f>IFERROR(__xludf.DUMMYFUNCTION("""COMPUTED_VALUE"""),8.363411386E9)</f>
        <v>8363411386</v>
      </c>
      <c r="B22" s="5" t="str">
        <f>IFERROR(__xludf.DUMMYFUNCTION("""COMPUTED_VALUE"""),"09650149222")</f>
        <v>09650149222</v>
      </c>
      <c r="C22" s="5" t="str">
        <f>IFERROR(__xludf.DUMMYFUNCTION("""COMPUTED_VALUE"""),"Sithu Htun")</f>
        <v>Sithu Htun</v>
      </c>
      <c r="D22" s="17">
        <f>IFERROR(__xludf.DUMMYFUNCTION("""COMPUTED_VALUE"""),24.0)</f>
        <v>24</v>
      </c>
      <c r="E22" s="5" t="str">
        <f>IFERROR(__xludf.DUMMYFUNCTION("""COMPUTED_VALUE"""),"VCM")</f>
        <v>VCM</v>
      </c>
      <c r="F22" s="5" t="str">
        <f>IFERROR(__xludf.DUMMYFUNCTION("""COMPUTED_VALUE"""),"Si Thu Htun")</f>
        <v>Si Thu Htun</v>
      </c>
      <c r="G22" s="5" t="str">
        <f>IFERROR(__xludf.DUMMYFUNCTION("""COMPUTED_VALUE"""),"VCM289635")</f>
        <v>VCM289635</v>
      </c>
      <c r="H22" s="5" t="str">
        <f>IFERROR(__xludf.DUMMYFUNCTION("""COMPUTED_VALUE"""),"myt_sithu.htun")</f>
        <v>myt_sithu.htun</v>
      </c>
      <c r="I22" s="5" t="str">
        <f>IFERROR(__xludf.DUMMYFUNCTION("""COMPUTED_VALUE"""),"O&amp;M")</f>
        <v>O&amp;M</v>
      </c>
      <c r="J22" s="5" t="str">
        <f>IFERROR(__xludf.DUMMYFUNCTION("""COMPUTED_VALUE"""),"TNI")</f>
        <v>TNI</v>
      </c>
      <c r="K22" s="24" t="str">
        <f>IFERROR(__xludf.DUMMYFUNCTION("""COMPUTED_VALUE"""),"Technical Team")</f>
        <v>Technical Team</v>
      </c>
      <c r="L22" s="5" t="str">
        <f>IFERROR(__xludf.DUMMYFUNCTION("""COMPUTED_VALUE"""),"Field Technical 1")</f>
        <v>Field Technical 1</v>
      </c>
      <c r="M22" s="5" t="str">
        <f>IFERROR(__xludf.DUMMYFUNCTION("""COMPUTED_VALUE"""),"Team 03")</f>
        <v>Team 03</v>
      </c>
      <c r="N22" s="5"/>
      <c r="O22" s="13" t="str">
        <f>IFERROR(__xludf.DUMMYFUNCTION("""COMPUTED_VALUE"""),"https://drive.google.com/file/d/1RW2F2UcIhnNLssgKdtZhrmjwcn2W_7zW/view?usp=drive_link")</f>
        <v>https://drive.google.com/file/d/1RW2F2UcIhnNLssgKdtZhrmjwcn2W_7zW/view?usp=drive_link</v>
      </c>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row>
    <row r="23">
      <c r="A23" s="17">
        <f>IFERROR(__xludf.DUMMYFUNCTION("""COMPUTED_VALUE"""),8.724936487E9)</f>
        <v>8724936487</v>
      </c>
      <c r="B23" s="5" t="str">
        <f>IFERROR(__xludf.DUMMYFUNCTION("""COMPUTED_VALUE"""),"09698177034")</f>
        <v>09698177034</v>
      </c>
      <c r="C23" s="5" t="str">
        <f>IFERROR(__xludf.DUMMYFUNCTION("""COMPUTED_VALUE"""),"Naing Lin")</f>
        <v>Naing Lin</v>
      </c>
      <c r="D23" s="17">
        <f>IFERROR(__xludf.DUMMYFUNCTION("""COMPUTED_VALUE"""),25.0)</f>
        <v>25</v>
      </c>
      <c r="E23" s="5" t="str">
        <f>IFERROR(__xludf.DUMMYFUNCTION("""COMPUTED_VALUE"""),"VCM")</f>
        <v>VCM</v>
      </c>
      <c r="F23" s="5" t="str">
        <f>IFERROR(__xludf.DUMMYFUNCTION("""COMPUTED_VALUE"""),"Tin Naing Lin")</f>
        <v>Tin Naing Lin</v>
      </c>
      <c r="G23" s="5" t="str">
        <f>IFERROR(__xludf.DUMMYFUNCTION("""COMPUTED_VALUE"""),"VCM852892")</f>
        <v>VCM852892</v>
      </c>
      <c r="H23" s="5" t="str">
        <f>IFERROR(__xludf.DUMMYFUNCTION("""COMPUTED_VALUE"""),"myt_tinnaing.lin11")</f>
        <v>myt_tinnaing.lin11</v>
      </c>
      <c r="I23" s="5" t="str">
        <f>IFERROR(__xludf.DUMMYFUNCTION("""COMPUTED_VALUE"""),"O&amp;M")</f>
        <v>O&amp;M</v>
      </c>
      <c r="J23" s="5" t="str">
        <f>IFERROR(__xludf.DUMMYFUNCTION("""COMPUTED_VALUE"""),"TNI")</f>
        <v>TNI</v>
      </c>
      <c r="K23" s="24" t="str">
        <f>IFERROR(__xludf.DUMMYFUNCTION("""COMPUTED_VALUE"""),"Technical Team")</f>
        <v>Technical Team</v>
      </c>
      <c r="L23" s="5" t="str">
        <f>IFERROR(__xludf.DUMMYFUNCTION("""COMPUTED_VALUE"""),"Field Technical 1")</f>
        <v>Field Technical 1</v>
      </c>
      <c r="M23" s="5" t="str">
        <f>IFERROR(__xludf.DUMMYFUNCTION("""COMPUTED_VALUE"""),"Team 03")</f>
        <v>Team 03</v>
      </c>
      <c r="N23" s="5"/>
      <c r="O23" s="13" t="str">
        <f>IFERROR(__xludf.DUMMYFUNCTION("""COMPUTED_VALUE"""),"https://drive.google.com/file/d/1W2YYakS2oStYMntIshqZNxHF5lgsbbNR/view?usp=drive_link")</f>
        <v>https://drive.google.com/file/d/1W2YYakS2oStYMntIshqZNxHF5lgsbbNR/view?usp=drive_link</v>
      </c>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row>
    <row r="24">
      <c r="A24" s="5">
        <f>IFERROR(__xludf.DUMMYFUNCTION("""COMPUTED_VALUE"""),1.83227873E9)</f>
        <v>1832278730</v>
      </c>
      <c r="B24" s="5" t="str">
        <f>IFERROR(__xludf.DUMMYFUNCTION("""COMPUTED_VALUE"""),"09678278066")</f>
        <v>09678278066</v>
      </c>
      <c r="C24" s="5" t="str">
        <f>IFERROR(__xludf.DUMMYFUNCTION("""COMPUTED_VALUE"""),"pyae phyo")</f>
        <v>pyae phyo</v>
      </c>
      <c r="D24" s="17">
        <f>IFERROR(__xludf.DUMMYFUNCTION("""COMPUTED_VALUE"""),26.0)</f>
        <v>26</v>
      </c>
      <c r="E24" s="5" t="str">
        <f>IFERROR(__xludf.DUMMYFUNCTION("""COMPUTED_VALUE"""),"VCM")</f>
        <v>VCM</v>
      </c>
      <c r="F24" s="5" t="str">
        <f>IFERROR(__xludf.DUMMYFUNCTION("""COMPUTED_VALUE"""),"Pyae Phyo Zaw")</f>
        <v>Pyae Phyo Zaw</v>
      </c>
      <c r="G24" s="5" t="str">
        <f>IFERROR(__xludf.DUMMYFUNCTION("""COMPUTED_VALUE"""),"VCM276675")</f>
        <v>VCM276675</v>
      </c>
      <c r="H24" s="5" t="str">
        <f>IFERROR(__xludf.DUMMYFUNCTION("""COMPUTED_VALUE"""),"myt_pyaephyo.zaw")</f>
        <v>myt_pyaephyo.zaw</v>
      </c>
      <c r="I24" s="5" t="str">
        <f>IFERROR(__xludf.DUMMYFUNCTION("""COMPUTED_VALUE"""),"O&amp;M")</f>
        <v>O&amp;M</v>
      </c>
      <c r="J24" s="5" t="str">
        <f>IFERROR(__xludf.DUMMYFUNCTION("""COMPUTED_VALUE"""),"TNI")</f>
        <v>TNI</v>
      </c>
      <c r="K24" s="5" t="str">
        <f>IFERROR(__xludf.DUMMYFUNCTION("""COMPUTED_VALUE"""),"Technical Team")</f>
        <v>Technical Team</v>
      </c>
      <c r="L24" s="5" t="str">
        <f>IFERROR(__xludf.DUMMYFUNCTION("""COMPUTED_VALUE"""),"FOT Team Leader")</f>
        <v>FOT Team Leader</v>
      </c>
      <c r="M24" s="5" t="str">
        <f>IFERROR(__xludf.DUMMYFUNCTION("""COMPUTED_VALUE"""),"Team 03")</f>
        <v>Team 03</v>
      </c>
      <c r="N24" s="5"/>
      <c r="O24" s="13" t="str">
        <f>IFERROR(__xludf.DUMMYFUNCTION("""COMPUTED_VALUE"""),"https://drive.google.com/file/d/1pkEXUrMZPp46ezOz0QDkzC1qHiy7PPpK/view?usp=sharing")</f>
        <v>https://drive.google.com/file/d/1pkEXUrMZPp46ezOz0QDkzC1qHiy7PPpK/view?usp=sharing</v>
      </c>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row>
    <row r="25">
      <c r="A25" s="17">
        <f>IFERROR(__xludf.DUMMYFUNCTION("""COMPUTED_VALUE"""),6.681796896E9)</f>
        <v>6681796896</v>
      </c>
      <c r="B25" s="5" t="str">
        <f>IFERROR(__xludf.DUMMYFUNCTION("""COMPUTED_VALUE"""),"09691325891")</f>
        <v>09691325891</v>
      </c>
      <c r="C25" s="5" t="str">
        <f>IFERROR(__xludf.DUMMYFUNCTION("""COMPUTED_VALUE"""),"""Mg Swan ""✨🪄⚡ 💗")</f>
        <v>"Mg Swan "✨🪄⚡ 💗</v>
      </c>
      <c r="D25" s="17">
        <f>IFERROR(__xludf.DUMMYFUNCTION("""COMPUTED_VALUE"""),27.0)</f>
        <v>27</v>
      </c>
      <c r="E25" s="5" t="str">
        <f>IFERROR(__xludf.DUMMYFUNCTION("""COMPUTED_VALUE"""),"VCM")</f>
        <v>VCM</v>
      </c>
      <c r="F25" s="5" t="str">
        <f>IFERROR(__xludf.DUMMYFUNCTION("""COMPUTED_VALUE"""),"Myint Ko Ko Aung")</f>
        <v>Myint Ko Ko Aung</v>
      </c>
      <c r="G25" s="5" t="str">
        <f>IFERROR(__xludf.DUMMYFUNCTION("""COMPUTED_VALUE"""),"VCM816540")</f>
        <v>VCM816540</v>
      </c>
      <c r="H25" s="5" t="str">
        <f>IFERROR(__xludf.DUMMYFUNCTION("""COMPUTED_VALUE"""),"myt_myintkoko.aung")</f>
        <v>myt_myintkoko.aung</v>
      </c>
      <c r="I25" s="5" t="str">
        <f>IFERROR(__xludf.DUMMYFUNCTION("""COMPUTED_VALUE"""),"O&amp;M")</f>
        <v>O&amp;M</v>
      </c>
      <c r="J25" s="5" t="str">
        <f>IFERROR(__xludf.DUMMYFUNCTION("""COMPUTED_VALUE"""),"TNI")</f>
        <v>TNI</v>
      </c>
      <c r="K25" s="5" t="str">
        <f>IFERROR(__xludf.DUMMYFUNCTION("""COMPUTED_VALUE"""),"Technical Team")</f>
        <v>Technical Team</v>
      </c>
      <c r="L25" s="5" t="str">
        <f>IFERROR(__xludf.DUMMYFUNCTION("""COMPUTED_VALUE"""),"FOT Technician")</f>
        <v>FOT Technician</v>
      </c>
      <c r="M25" s="5" t="str">
        <f>IFERROR(__xludf.DUMMYFUNCTION("""COMPUTED_VALUE"""),"Team 03")</f>
        <v>Team 03</v>
      </c>
      <c r="N25" s="5"/>
      <c r="O25" s="13" t="str">
        <f>IFERROR(__xludf.DUMMYFUNCTION("""COMPUTED_VALUE"""),"https://drive.google.com/file/d/1VESFp2UaAHZzs_pBO29i629dU0sGMNJQ/view?usp=sharing")</f>
        <v>https://drive.google.com/file/d/1VESFp2UaAHZzs_pBO29i629dU0sGMNJQ/view?usp=sharing</v>
      </c>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row>
    <row r="26">
      <c r="A26" s="5">
        <f>IFERROR(__xludf.DUMMYFUNCTION("""COMPUTED_VALUE"""),7.717490963E9)</f>
        <v>7717490963</v>
      </c>
      <c r="B26" s="5" t="str">
        <f>IFERROR(__xludf.DUMMYFUNCTION("""COMPUTED_VALUE"""),"09677573391")</f>
        <v>09677573391</v>
      </c>
      <c r="C26" s="5" t="str">
        <f>IFERROR(__xludf.DUMMYFUNCTION("""COMPUTED_VALUE"""),"Naung ni ni")</f>
        <v>Naung ni ni</v>
      </c>
      <c r="D26" s="17">
        <f>IFERROR(__xludf.DUMMYFUNCTION("""COMPUTED_VALUE"""),28.0)</f>
        <v>28</v>
      </c>
      <c r="E26" s="5" t="str">
        <f>IFERROR(__xludf.DUMMYFUNCTION("""COMPUTED_VALUE"""),"VCM")</f>
        <v>VCM</v>
      </c>
      <c r="F26" s="5" t="str">
        <f>IFERROR(__xludf.DUMMYFUNCTION("""COMPUTED_VALUE"""),"Khant Si Thu")</f>
        <v>Khant Si Thu</v>
      </c>
      <c r="G26" s="5" t="str">
        <f>IFERROR(__xludf.DUMMYFUNCTION("""COMPUTED_VALUE"""),"VCM-----3")</f>
        <v>VCM-----3</v>
      </c>
      <c r="H26" s="5" t="str">
        <f>IFERROR(__xludf.DUMMYFUNCTION("""COMPUTED_VALUE"""),"Khant Si Thu")</f>
        <v>Khant Si Thu</v>
      </c>
      <c r="I26" s="5" t="str">
        <f>IFERROR(__xludf.DUMMYFUNCTION("""COMPUTED_VALUE"""),"O&amp;M")</f>
        <v>O&amp;M</v>
      </c>
      <c r="J26" s="5" t="str">
        <f>IFERROR(__xludf.DUMMYFUNCTION("""COMPUTED_VALUE"""),"TNI")</f>
        <v>TNI</v>
      </c>
      <c r="K26" s="24" t="str">
        <f>IFERROR(__xludf.DUMMYFUNCTION("""COMPUTED_VALUE"""),"Technical Team")</f>
        <v>Technical Team</v>
      </c>
      <c r="L26" s="5" t="str">
        <f>IFERROR(__xludf.DUMMYFUNCTION("""COMPUTED_VALUE"""),"Field Technical 1")</f>
        <v>Field Technical 1</v>
      </c>
      <c r="M26" s="5" t="str">
        <f>IFERROR(__xludf.DUMMYFUNCTION("""COMPUTED_VALUE"""),"Team 03")</f>
        <v>Team 03</v>
      </c>
      <c r="N26" s="5"/>
      <c r="O26" s="13" t="str">
        <f>IFERROR(__xludf.DUMMYFUNCTION("""COMPUTED_VALUE"""),"https://drive.google.com/file/d/12Vqv-WS-36N32kQnp0UVGBokwrv3LIyE/view?usp=drive_link")</f>
        <v>https://drive.google.com/file/d/12Vqv-WS-36N32kQnp0UVGBokwrv3LIyE/view?usp=drive_link</v>
      </c>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row>
    <row r="27">
      <c r="A27" s="17">
        <f>IFERROR(__xludf.DUMMYFUNCTION("""COMPUTED_VALUE"""),7.772056124E9)</f>
        <v>7772056124</v>
      </c>
      <c r="B27" s="5" t="str">
        <f>IFERROR(__xludf.DUMMYFUNCTION("""COMPUTED_VALUE"""),"09692245565")</f>
        <v>09692245565</v>
      </c>
      <c r="C27" s="17" t="str">
        <f>IFERROR(__xludf.DUMMYFUNCTION("""COMPUTED_VALUE"""),"U Tin Maung Win U Tin Maung Win")</f>
        <v>U Tin Maung Win U Tin Maung Win</v>
      </c>
      <c r="D27" s="17">
        <f>IFERROR(__xludf.DUMMYFUNCTION("""COMPUTED_VALUE"""),29.0)</f>
        <v>29</v>
      </c>
      <c r="E27" s="5" t="str">
        <f>IFERROR(__xludf.DUMMYFUNCTION("""COMPUTED_VALUE"""),"VCM")</f>
        <v>VCM</v>
      </c>
      <c r="F27" s="5" t="str">
        <f>IFERROR(__xludf.DUMMYFUNCTION("""COMPUTED_VALUE"""),"Tin Maung Win")</f>
        <v>Tin Maung Win</v>
      </c>
      <c r="G27" s="5" t="str">
        <f>IFERROR(__xludf.DUMMYFUNCTION("""COMPUTED_VALUE"""),"VCM818134")</f>
        <v>VCM818134</v>
      </c>
      <c r="H27" s="5" t="str">
        <f>IFERROR(__xludf.DUMMYFUNCTION("""COMPUTED_VALUE"""),"myt_tinmaung.win")</f>
        <v>myt_tinmaung.win</v>
      </c>
      <c r="I27" s="5" t="str">
        <f>IFERROR(__xludf.DUMMYFUNCTION("""COMPUTED_VALUE"""),"O&amp;M")</f>
        <v>O&amp;M</v>
      </c>
      <c r="J27" s="5" t="str">
        <f>IFERROR(__xludf.DUMMYFUNCTION("""COMPUTED_VALUE"""),"TNI")</f>
        <v>TNI</v>
      </c>
      <c r="K27" s="5" t="str">
        <f>IFERROR(__xludf.DUMMYFUNCTION("""COMPUTED_VALUE"""),"Technical Team")</f>
        <v>Technical Team</v>
      </c>
      <c r="L27" s="5" t="str">
        <f>IFERROR(__xludf.DUMMYFUNCTION("""COMPUTED_VALUE"""),"Field Technical 1")</f>
        <v>Field Technical 1</v>
      </c>
      <c r="M27" s="5" t="str">
        <f>IFERROR(__xludf.DUMMYFUNCTION("""COMPUTED_VALUE"""),"Team 04")</f>
        <v>Team 04</v>
      </c>
      <c r="N27" s="5"/>
      <c r="O27" s="13" t="str">
        <f>IFERROR(__xludf.DUMMYFUNCTION("""COMPUTED_VALUE"""),"https://drive.google.com/file/d/1FoSxz0rU-mlniMDt_i430jiQD8kQOw5H/view?usp=drive_link")</f>
        <v>https://drive.google.com/file/d/1FoSxz0rU-mlniMDt_i430jiQD8kQOw5H/view?usp=drive_link</v>
      </c>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row>
    <row r="28">
      <c r="A28" s="17">
        <f>IFERROR(__xludf.DUMMYFUNCTION("""COMPUTED_VALUE"""),6.361576236E9)</f>
        <v>6361576236</v>
      </c>
      <c r="B28" s="5" t="str">
        <f>IFERROR(__xludf.DUMMYFUNCTION("""COMPUTED_VALUE"""),"09677337705")</f>
        <v>09677337705</v>
      </c>
      <c r="C28" s="5" t="str">
        <f>IFERROR(__xludf.DUMMYFUNCTION("""COMPUTED_VALUE"""),"Nyo Gyi")</f>
        <v>Nyo Gyi</v>
      </c>
      <c r="D28" s="17">
        <f>IFERROR(__xludf.DUMMYFUNCTION("""COMPUTED_VALUE"""),30.0)</f>
        <v>30</v>
      </c>
      <c r="E28" s="5" t="str">
        <f>IFERROR(__xludf.DUMMYFUNCTION("""COMPUTED_VALUE"""),"VCM")</f>
        <v>VCM</v>
      </c>
      <c r="F28" s="5" t="str">
        <f>IFERROR(__xludf.DUMMYFUNCTION("""COMPUTED_VALUE"""),"Khant Chaw Nyo")</f>
        <v>Khant Chaw Nyo</v>
      </c>
      <c r="G28" s="5" t="str">
        <f>IFERROR(__xludf.DUMMYFUNCTION("""COMPUTED_VALUE"""),"VCM859716")</f>
        <v>VCM859716</v>
      </c>
      <c r="H28" s="5" t="str">
        <f>IFERROR(__xludf.DUMMYFUNCTION("""COMPUTED_VALUE"""),"myt_khantchaw.nyo")</f>
        <v>myt_khantchaw.nyo</v>
      </c>
      <c r="I28" s="5" t="str">
        <f>IFERROR(__xludf.DUMMYFUNCTION("""COMPUTED_VALUE"""),"O&amp;M")</f>
        <v>O&amp;M</v>
      </c>
      <c r="J28" s="5" t="str">
        <f>IFERROR(__xludf.DUMMYFUNCTION("""COMPUTED_VALUE"""),"TNI")</f>
        <v>TNI</v>
      </c>
      <c r="K28" s="24" t="str">
        <f>IFERROR(__xludf.DUMMYFUNCTION("""COMPUTED_VALUE"""),"Technical Team")</f>
        <v>Technical Team</v>
      </c>
      <c r="L28" s="5" t="str">
        <f>IFERROR(__xludf.DUMMYFUNCTION("""COMPUTED_VALUE"""),"FOT Collaborator")</f>
        <v>FOT Collaborator</v>
      </c>
      <c r="M28" s="5" t="str">
        <f>IFERROR(__xludf.DUMMYFUNCTION("""COMPUTED_VALUE"""),"Team 04")</f>
        <v>Team 04</v>
      </c>
      <c r="N28" s="5"/>
      <c r="O28" s="13" t="str">
        <f>IFERROR(__xludf.DUMMYFUNCTION("""COMPUTED_VALUE"""),"https://drive.google.com/file/d/1Cd9U56BR6g5rxAp8DefAfeet5QF32bVi/view?usp=sharing")</f>
        <v>https://drive.google.com/file/d/1Cd9U56BR6g5rxAp8DefAfeet5QF32bVi/view?usp=sharing</v>
      </c>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row>
    <row r="29">
      <c r="A29" s="17">
        <f>IFERROR(__xludf.DUMMYFUNCTION("""COMPUTED_VALUE"""),6.558915011E9)</f>
        <v>6558915011</v>
      </c>
      <c r="B29" s="5" t="str">
        <f>IFERROR(__xludf.DUMMYFUNCTION("""COMPUTED_VALUE"""),"09691051525")</f>
        <v>09691051525</v>
      </c>
      <c r="C29" s="5" t="str">
        <f>IFERROR(__xludf.DUMMYFUNCTION("""COMPUTED_VALUE"""),"🥳 🤪")</f>
        <v>🥳 🤪</v>
      </c>
      <c r="D29" s="17">
        <f>IFERROR(__xludf.DUMMYFUNCTION("""COMPUTED_VALUE"""),31.0)</f>
        <v>31</v>
      </c>
      <c r="E29" s="5" t="str">
        <f>IFERROR(__xludf.DUMMYFUNCTION("""COMPUTED_VALUE"""),"VCM")</f>
        <v>VCM</v>
      </c>
      <c r="F29" s="5" t="str">
        <f>IFERROR(__xludf.DUMMYFUNCTION("""COMPUTED_VALUE"""),"Naing Myo Htun")</f>
        <v>Naing Myo Htun</v>
      </c>
      <c r="G29" s="5" t="str">
        <f>IFERROR(__xludf.DUMMYFUNCTION("""COMPUTED_VALUE"""),"VCM277678")</f>
        <v>VCM277678</v>
      </c>
      <c r="H29" s="5" t="str">
        <f>IFERROR(__xludf.DUMMYFUNCTION("""COMPUTED_VALUE"""),"myt_naingmyo.htun")</f>
        <v>myt_naingmyo.htun</v>
      </c>
      <c r="I29" s="5" t="str">
        <f>IFERROR(__xludf.DUMMYFUNCTION("""COMPUTED_VALUE"""),"O&amp;M")</f>
        <v>O&amp;M</v>
      </c>
      <c r="J29" s="5" t="str">
        <f>IFERROR(__xludf.DUMMYFUNCTION("""COMPUTED_VALUE"""),"TNI")</f>
        <v>TNI</v>
      </c>
      <c r="K29" s="24" t="str">
        <f>IFERROR(__xludf.DUMMYFUNCTION("""COMPUTED_VALUE"""),"Technical Team")</f>
        <v>Technical Team</v>
      </c>
      <c r="L29" s="5" t="str">
        <f>IFERROR(__xludf.DUMMYFUNCTION("""COMPUTED_VALUE"""),"FOT Team Leader")</f>
        <v>FOT Team Leader</v>
      </c>
      <c r="M29" s="5" t="str">
        <f>IFERROR(__xludf.DUMMYFUNCTION("""COMPUTED_VALUE"""),"Team 04")</f>
        <v>Team 04</v>
      </c>
      <c r="N29" s="5"/>
      <c r="O29" s="13" t="str">
        <f>IFERROR(__xludf.DUMMYFUNCTION("""COMPUTED_VALUE"""),"https://drive.google.com/file/d/15NzWeJRkHZhATPI9AEDnEZomv2ZCONXx/view?usp=sharing")</f>
        <v>https://drive.google.com/file/d/15NzWeJRkHZhATPI9AEDnEZomv2ZCONXx/view?usp=sharing</v>
      </c>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row>
    <row r="30">
      <c r="A30" s="17"/>
      <c r="B30" s="5" t="str">
        <f>IFERROR(__xludf.DUMMYFUNCTION("""COMPUTED_VALUE"""),"09674983764")</f>
        <v>09674983764</v>
      </c>
      <c r="C30" s="5"/>
      <c r="D30" s="17">
        <f>IFERROR(__xludf.DUMMYFUNCTION("""COMPUTED_VALUE"""),32.0)</f>
        <v>32</v>
      </c>
      <c r="E30" s="5" t="str">
        <f>IFERROR(__xludf.DUMMYFUNCTION("""COMPUTED_VALUE"""),"VCM")</f>
        <v>VCM</v>
      </c>
      <c r="F30" s="5" t="str">
        <f>IFERROR(__xludf.DUMMYFUNCTION("""COMPUTED_VALUE"""),"Pyae Phyo Hlaing")</f>
        <v>Pyae Phyo Hlaing</v>
      </c>
      <c r="G30" s="5" t="str">
        <f>IFERROR(__xludf.DUMMYFUNCTION("""COMPUTED_VALUE"""),"VCM----4.1")</f>
        <v>VCM----4.1</v>
      </c>
      <c r="H30" s="5"/>
      <c r="I30" s="5" t="str">
        <f>IFERROR(__xludf.DUMMYFUNCTION("""COMPUTED_VALUE"""),"O&amp;M")</f>
        <v>O&amp;M</v>
      </c>
      <c r="J30" s="5" t="str">
        <f>IFERROR(__xludf.DUMMYFUNCTION("""COMPUTED_VALUE"""),"TNI")</f>
        <v>TNI</v>
      </c>
      <c r="K30" s="5" t="str">
        <f>IFERROR(__xludf.DUMMYFUNCTION("""COMPUTED_VALUE"""),"Technical Team")</f>
        <v>Technical Team</v>
      </c>
      <c r="L30" s="5" t="str">
        <f>IFERROR(__xludf.DUMMYFUNCTION("""COMPUTED_VALUE"""),"FOT Collaborator")</f>
        <v>FOT Collaborator</v>
      </c>
      <c r="M30" s="5" t="str">
        <f>IFERROR(__xludf.DUMMYFUNCTION("""COMPUTED_VALUE"""),"Team 04")</f>
        <v>Team 04</v>
      </c>
      <c r="N30" s="5"/>
      <c r="O30" s="13" t="str">
        <f>IFERROR(__xludf.DUMMYFUNCTION("""COMPUTED_VALUE"""),"https://drive.google.com/file/d/1p3Nu-K_478-R2fLdhGqjfwi47d88aXpI/view?usp=drive_link")</f>
        <v>https://drive.google.com/file/d/1p3Nu-K_478-R2fLdhGqjfwi47d88aXpI/view?usp=drive_link</v>
      </c>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row>
    <row r="31">
      <c r="A31" s="5"/>
      <c r="B31" s="5" t="str">
        <f>IFERROR(__xludf.DUMMYFUNCTION("""COMPUTED_VALUE"""),"09674001156")</f>
        <v>09674001156</v>
      </c>
      <c r="C31" s="5"/>
      <c r="D31" s="17">
        <f>IFERROR(__xludf.DUMMYFUNCTION("""COMPUTED_VALUE"""),33.0)</f>
        <v>33</v>
      </c>
      <c r="E31" s="5" t="str">
        <f>IFERROR(__xludf.DUMMYFUNCTION("""COMPUTED_VALUE"""),"VCM")</f>
        <v>VCM</v>
      </c>
      <c r="F31" s="5" t="str">
        <f>IFERROR(__xludf.DUMMYFUNCTION("""COMPUTED_VALUE"""),"Htun Lin Oo")</f>
        <v>Htun Lin Oo</v>
      </c>
      <c r="G31" s="5" t="str">
        <f>IFERROR(__xludf.DUMMYFUNCTION("""COMPUTED_VALUE"""),"VCM----4.2")</f>
        <v>VCM----4.2</v>
      </c>
      <c r="H31" s="5"/>
      <c r="I31" s="5" t="str">
        <f>IFERROR(__xludf.DUMMYFUNCTION("""COMPUTED_VALUE"""),"O&amp;M")</f>
        <v>O&amp;M</v>
      </c>
      <c r="J31" s="5" t="str">
        <f>IFERROR(__xludf.DUMMYFUNCTION("""COMPUTED_VALUE"""),"TNI")</f>
        <v>TNI</v>
      </c>
      <c r="K31" s="5" t="str">
        <f>IFERROR(__xludf.DUMMYFUNCTION("""COMPUTED_VALUE"""),"Technical Team")</f>
        <v>Technical Team</v>
      </c>
      <c r="L31" s="5" t="str">
        <f>IFERROR(__xludf.DUMMYFUNCTION("""COMPUTED_VALUE"""),"FOT Collaborator")</f>
        <v>FOT Collaborator</v>
      </c>
      <c r="M31" s="5" t="str">
        <f>IFERROR(__xludf.DUMMYFUNCTION("""COMPUTED_VALUE"""),"Team 04")</f>
        <v>Team 04</v>
      </c>
      <c r="N31" s="5"/>
      <c r="O31" s="13" t="str">
        <f>IFERROR(__xludf.DUMMYFUNCTION("""COMPUTED_VALUE"""),"https://drive.google.com/file/d/1cTTOZFZDxAOS0YiWTVUC8qpIVeV7MOnt/view?usp=drive_link")</f>
        <v>https://drive.google.com/file/d/1cTTOZFZDxAOS0YiWTVUC8qpIVeV7MOnt/view?usp=drive_link</v>
      </c>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row>
    <row r="32">
      <c r="A32" s="17"/>
      <c r="B32" s="5"/>
      <c r="C32" s="5"/>
      <c r="D32" s="17"/>
      <c r="E32" s="5"/>
      <c r="F32" s="5"/>
      <c r="G32" s="5"/>
      <c r="H32" s="5"/>
      <c r="I32" s="5"/>
      <c r="J32" s="5"/>
      <c r="K32" s="24"/>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row>
    <row r="33">
      <c r="A33" s="17"/>
      <c r="B33" s="5"/>
      <c r="C33" s="5"/>
      <c r="D33" s="17"/>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row>
    <row r="34">
      <c r="A34" s="5"/>
      <c r="B34" s="5"/>
      <c r="C34" s="5"/>
      <c r="D34" s="17"/>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row>
    <row r="35">
      <c r="A35" s="17"/>
      <c r="B35" s="5"/>
      <c r="C35" s="5"/>
      <c r="D35" s="17"/>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row>
    <row r="36">
      <c r="A36" s="17"/>
      <c r="B36" s="5"/>
      <c r="C36" s="5"/>
      <c r="D36" s="17"/>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row>
    <row r="37">
      <c r="A37" s="5"/>
      <c r="B37" s="5"/>
      <c r="C37" s="17"/>
      <c r="D37" s="17"/>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row>
    <row r="38">
      <c r="A38" s="17"/>
      <c r="B38" s="5"/>
      <c r="C38" s="17"/>
      <c r="D38" s="17"/>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row>
    <row r="39">
      <c r="A39" s="5"/>
      <c r="B39" s="5"/>
      <c r="C39" s="5"/>
      <c r="D39" s="17"/>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row>
    <row r="40">
      <c r="A40" s="5"/>
      <c r="B40" s="5"/>
      <c r="C40" s="5"/>
      <c r="D40" s="17"/>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row>
    <row r="41">
      <c r="A41" s="5"/>
      <c r="B41" s="5"/>
      <c r="C41" s="5"/>
      <c r="D41" s="17"/>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row>
    <row r="42">
      <c r="A42" s="17"/>
      <c r="B42" s="5"/>
      <c r="C42" s="5"/>
      <c r="D42" s="17"/>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row>
    <row r="43">
      <c r="A43" s="17"/>
      <c r="B43" s="5"/>
      <c r="C43" s="5"/>
      <c r="D43" s="17"/>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row>
    <row r="44">
      <c r="A44" s="5"/>
      <c r="B44" s="5"/>
      <c r="C44" s="5"/>
      <c r="D44" s="17"/>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row>
    <row r="45">
      <c r="A45" s="17"/>
      <c r="B45" s="5"/>
      <c r="C45" s="5"/>
      <c r="D45" s="17"/>
      <c r="E45" s="5"/>
      <c r="F45" s="5"/>
      <c r="G45" s="36"/>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row>
    <row r="46">
      <c r="A46" s="17"/>
      <c r="B46" s="5"/>
      <c r="C46" s="5"/>
      <c r="D46" s="17"/>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row>
    <row r="47">
      <c r="A47" s="17"/>
      <c r="B47" s="5"/>
      <c r="C47" s="5"/>
      <c r="D47" s="17"/>
      <c r="E47" s="5"/>
      <c r="F47" s="5"/>
      <c r="G47" s="36"/>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row>
    <row r="48">
      <c r="A48" s="17"/>
      <c r="B48" s="5"/>
      <c r="C48" s="5"/>
      <c r="D48" s="17"/>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row>
    <row r="49">
      <c r="A49" s="17"/>
      <c r="B49" s="5"/>
      <c r="C49" s="5"/>
      <c r="D49" s="17"/>
      <c r="E49" s="5"/>
      <c r="F49" s="5"/>
      <c r="G49" s="5"/>
      <c r="H49" s="5"/>
      <c r="I49" s="5"/>
      <c r="J49" s="5"/>
      <c r="K49" s="24"/>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row>
    <row r="50">
      <c r="A50" s="17"/>
      <c r="B50" s="5"/>
      <c r="C50" s="5"/>
      <c r="D50" s="17"/>
      <c r="E50" s="5"/>
      <c r="F50" s="5"/>
      <c r="G50" s="36"/>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row>
    <row r="51">
      <c r="A51" s="5"/>
      <c r="B51" s="5"/>
      <c r="C51" s="17"/>
      <c r="D51" s="17"/>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row>
    <row r="52">
      <c r="A52" s="17"/>
      <c r="B52" s="5"/>
      <c r="C52" s="5"/>
      <c r="D52" s="17"/>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row>
    <row r="53">
      <c r="A53" s="17"/>
      <c r="B53" s="5"/>
      <c r="C53" s="5"/>
      <c r="D53" s="17"/>
      <c r="E53" s="5"/>
      <c r="F53" s="5"/>
      <c r="G53" s="36"/>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row>
    <row r="54">
      <c r="A54" s="17"/>
      <c r="B54" s="5"/>
      <c r="C54" s="17"/>
      <c r="D54" s="17"/>
      <c r="E54" s="5"/>
      <c r="F54" s="5"/>
      <c r="G54" s="36"/>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row>
    <row r="55">
      <c r="A55" s="17"/>
      <c r="B55" s="5"/>
      <c r="C55" s="5"/>
      <c r="D55" s="17"/>
      <c r="E55" s="5"/>
      <c r="F55" s="5"/>
      <c r="G55" s="5"/>
      <c r="H55" s="5"/>
      <c r="I55" s="5"/>
      <c r="J55" s="5"/>
      <c r="K55" s="24"/>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row>
    <row r="56">
      <c r="A56" s="5"/>
      <c r="B56" s="5"/>
      <c r="C56" s="17"/>
      <c r="D56" s="17"/>
      <c r="E56" s="5"/>
      <c r="F56" s="5"/>
      <c r="G56" s="36"/>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row>
    <row r="57">
      <c r="A57" s="5"/>
      <c r="B57" s="5"/>
      <c r="C57" s="17"/>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row>
    <row r="58">
      <c r="A58" s="5"/>
      <c r="B58" s="5"/>
      <c r="C58" s="17"/>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row>
    <row r="59">
      <c r="A59" s="5"/>
      <c r="B59" s="5"/>
      <c r="C59" s="17"/>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3"/>
    <hyperlink r:id="rId12" ref="O14"/>
    <hyperlink r:id="rId13" ref="O15"/>
    <hyperlink r:id="rId14" ref="O16"/>
    <hyperlink r:id="rId15" ref="O17"/>
    <hyperlink r:id="rId16" ref="O18"/>
    <hyperlink r:id="rId17" ref="O19"/>
    <hyperlink r:id="rId18" ref="O20"/>
    <hyperlink r:id="rId19" ref="O21"/>
    <hyperlink r:id="rId20" ref="O22"/>
    <hyperlink r:id="rId21" ref="O23"/>
    <hyperlink r:id="rId22" ref="O24"/>
    <hyperlink r:id="rId23" ref="O25"/>
    <hyperlink r:id="rId24" ref="O26"/>
    <hyperlink r:id="rId25" ref="O27"/>
    <hyperlink r:id="rId26" ref="O28"/>
    <hyperlink r:id="rId27" ref="O29"/>
    <hyperlink r:id="rId28" ref="O30"/>
    <hyperlink r:id="rId29" ref="O31"/>
  </hyperlinks>
  <drawing r:id="rId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23.75"/>
    <col customWidth="1" min="3" max="3" width="15.25"/>
    <col customWidth="1" min="10" max="10" width="17.63"/>
  </cols>
  <sheetData>
    <row r="1">
      <c r="A1" s="1" t="s">
        <v>0</v>
      </c>
      <c r="B1" s="1" t="s">
        <v>2</v>
      </c>
      <c r="C1" s="1" t="s">
        <v>3</v>
      </c>
      <c r="D1" s="1" t="s">
        <v>4</v>
      </c>
      <c r="E1" s="1" t="s">
        <v>4</v>
      </c>
      <c r="F1" s="1" t="s">
        <v>6</v>
      </c>
      <c r="G1" s="1" t="s">
        <v>8</v>
      </c>
      <c r="H1" s="3"/>
      <c r="I1" s="3"/>
      <c r="J1" s="1" t="s">
        <v>10</v>
      </c>
      <c r="K1" s="3"/>
      <c r="L1" s="3"/>
      <c r="M1" s="3"/>
      <c r="N1" s="3"/>
      <c r="O1" s="3"/>
      <c r="P1" s="3"/>
      <c r="Q1" s="3"/>
      <c r="R1" s="3"/>
      <c r="S1" s="3"/>
      <c r="T1" s="3"/>
      <c r="U1" s="3"/>
      <c r="V1" s="3"/>
      <c r="W1" s="3"/>
      <c r="X1" s="3"/>
      <c r="Y1" s="3"/>
    </row>
    <row r="2" ht="74.25" customHeight="1">
      <c r="A2" s="1" t="s">
        <v>13</v>
      </c>
      <c r="B2" s="1" t="s">
        <v>15</v>
      </c>
      <c r="C2" s="1" t="s">
        <v>16</v>
      </c>
      <c r="D2" s="1" t="s">
        <v>18</v>
      </c>
      <c r="E2" s="1" t="s">
        <v>19</v>
      </c>
      <c r="F2" s="1" t="s">
        <v>20</v>
      </c>
      <c r="G2" s="1" t="s">
        <v>21</v>
      </c>
      <c r="H2" s="1"/>
      <c r="I2" s="3"/>
      <c r="J2" s="1">
        <v>7.237034356E9</v>
      </c>
      <c r="K2" s="1" t="s">
        <v>22</v>
      </c>
      <c r="L2" s="3"/>
      <c r="M2" s="3"/>
      <c r="N2" s="3"/>
      <c r="O2" s="3"/>
      <c r="P2" s="3"/>
      <c r="Q2" s="3"/>
      <c r="R2" s="3"/>
      <c r="S2" s="3"/>
      <c r="T2" s="3"/>
      <c r="U2" s="3"/>
      <c r="V2" s="3"/>
      <c r="W2" s="3"/>
      <c r="X2" s="3"/>
      <c r="Y2" s="3"/>
    </row>
    <row r="3">
      <c r="A3" s="3"/>
      <c r="B3" s="3"/>
      <c r="C3" s="3"/>
      <c r="D3" s="3"/>
      <c r="E3" s="3"/>
      <c r="F3" s="3"/>
      <c r="G3" s="3"/>
      <c r="H3" s="3"/>
      <c r="I3" s="3"/>
      <c r="J3" s="1">
        <v>6.85979068E9</v>
      </c>
      <c r="K3" s="1" t="s">
        <v>23</v>
      </c>
      <c r="L3" s="3"/>
      <c r="M3" s="3"/>
      <c r="N3" s="3"/>
      <c r="O3" s="3"/>
      <c r="P3" s="3"/>
      <c r="Q3" s="3"/>
      <c r="R3" s="3"/>
      <c r="S3" s="3"/>
      <c r="T3" s="3"/>
      <c r="U3" s="3"/>
      <c r="V3" s="3"/>
      <c r="W3" s="3"/>
      <c r="X3" s="3"/>
      <c r="Y3" s="3"/>
    </row>
    <row r="4">
      <c r="A4" s="3"/>
      <c r="B4" s="3"/>
      <c r="C4" s="3"/>
      <c r="D4" s="3"/>
      <c r="E4" s="3"/>
      <c r="F4" s="3"/>
      <c r="G4" s="3"/>
      <c r="H4" s="3"/>
      <c r="I4" s="3"/>
      <c r="J4" s="3"/>
      <c r="K4" s="3"/>
      <c r="L4" s="3"/>
      <c r="M4" s="3"/>
      <c r="N4" s="3"/>
      <c r="O4" s="3"/>
      <c r="P4" s="3"/>
      <c r="Q4" s="3"/>
      <c r="R4" s="3"/>
      <c r="S4" s="3"/>
      <c r="T4" s="3"/>
      <c r="U4" s="3"/>
      <c r="V4" s="3"/>
      <c r="W4" s="3"/>
      <c r="X4" s="3"/>
      <c r="Y4" s="3"/>
    </row>
    <row r="5">
      <c r="A5" s="3"/>
      <c r="B5" s="3"/>
      <c r="C5" s="3"/>
      <c r="D5" s="3"/>
      <c r="E5" s="3"/>
      <c r="F5" s="3"/>
      <c r="G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s>
  <sheetData>
    <row r="2">
      <c r="A2" s="2" t="s">
        <v>24</v>
      </c>
      <c r="B2" s="14">
        <v>46226.0</v>
      </c>
      <c r="C2" s="2" t="s">
        <v>25</v>
      </c>
      <c r="D2" s="2" t="s">
        <v>26</v>
      </c>
      <c r="E2" s="15">
        <v>660.0</v>
      </c>
      <c r="F2" s="16">
        <v>46226.48521979166</v>
      </c>
      <c r="G2" s="2" t="s">
        <v>27</v>
      </c>
      <c r="H2" s="2">
        <v>6.85979068E9</v>
      </c>
    </row>
    <row r="3">
      <c r="A3" s="2" t="s">
        <v>28</v>
      </c>
      <c r="B3" s="14">
        <v>46226.0</v>
      </c>
      <c r="C3" s="2" t="s">
        <v>25</v>
      </c>
      <c r="D3" s="2" t="s">
        <v>29</v>
      </c>
      <c r="E3" s="15">
        <v>440.0</v>
      </c>
      <c r="F3" s="16">
        <v>46226.48521979166</v>
      </c>
      <c r="G3" s="2" t="s">
        <v>27</v>
      </c>
      <c r="H3" s="2">
        <v>6.85979068E9</v>
      </c>
    </row>
    <row r="4">
      <c r="A4" s="2" t="s">
        <v>30</v>
      </c>
      <c r="B4" s="14">
        <v>46225.0</v>
      </c>
      <c r="C4" s="2" t="s">
        <v>25</v>
      </c>
      <c r="D4" s="2" t="s">
        <v>26</v>
      </c>
      <c r="E4" s="15">
        <v>40.0</v>
      </c>
      <c r="F4" s="16">
        <v>46225.6168200463</v>
      </c>
      <c r="G4" s="2" t="s">
        <v>27</v>
      </c>
      <c r="H4" s="2">
        <v>6.85979068E9</v>
      </c>
    </row>
    <row r="5">
      <c r="A5" s="2" t="s">
        <v>31</v>
      </c>
      <c r="B5" s="14">
        <v>46222.0</v>
      </c>
      <c r="C5" s="2" t="s">
        <v>32</v>
      </c>
      <c r="D5" s="2" t="s">
        <v>33</v>
      </c>
      <c r="E5" s="15">
        <v>660.0</v>
      </c>
      <c r="F5" s="16">
        <v>46222.5452715625</v>
      </c>
      <c r="G5" s="2" t="s">
        <v>27</v>
      </c>
      <c r="H5" s="2">
        <v>6.85979068E9</v>
      </c>
    </row>
    <row r="6">
      <c r="A6" s="2" t="s">
        <v>34</v>
      </c>
      <c r="B6" s="14">
        <v>46222.0</v>
      </c>
      <c r="C6" s="2" t="s">
        <v>32</v>
      </c>
      <c r="D6" s="2" t="s">
        <v>35</v>
      </c>
      <c r="E6" s="15">
        <v>660.0</v>
      </c>
      <c r="F6" s="16">
        <v>46222.5452715625</v>
      </c>
      <c r="G6" s="2" t="s">
        <v>27</v>
      </c>
      <c r="H6" s="2">
        <v>6.85979068E9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20.38"/>
    <col customWidth="1" min="24" max="25" width="10.88"/>
    <col customWidth="1" min="26" max="26" width="14.75"/>
    <col customWidth="1" min="27" max="27" width="16.38"/>
  </cols>
  <sheetData>
    <row r="1">
      <c r="A1" s="20" t="s">
        <v>37</v>
      </c>
      <c r="B1" s="21" t="s">
        <v>38</v>
      </c>
      <c r="C1" s="22" t="s">
        <v>39</v>
      </c>
      <c r="D1" s="23" t="s">
        <v>40</v>
      </c>
      <c r="E1" s="25" t="s">
        <v>41</v>
      </c>
      <c r="F1" s="25" t="s">
        <v>42</v>
      </c>
      <c r="G1" s="25" t="s">
        <v>43</v>
      </c>
      <c r="H1" s="25" t="s">
        <v>44</v>
      </c>
      <c r="I1" s="25" t="s">
        <v>45</v>
      </c>
      <c r="J1" s="25" t="s">
        <v>46</v>
      </c>
      <c r="K1" s="25" t="s">
        <v>47</v>
      </c>
      <c r="L1" s="25" t="s">
        <v>48</v>
      </c>
      <c r="M1" s="25" t="s">
        <v>49</v>
      </c>
      <c r="N1" s="26" t="s">
        <v>50</v>
      </c>
      <c r="O1" s="27" t="s">
        <v>51</v>
      </c>
      <c r="P1" s="28" t="s">
        <v>52</v>
      </c>
      <c r="Q1" s="2" t="s">
        <v>38</v>
      </c>
      <c r="R1" s="2" t="s">
        <v>53</v>
      </c>
      <c r="S1" s="2" t="s">
        <v>54</v>
      </c>
      <c r="T1" s="29" t="s">
        <v>55</v>
      </c>
      <c r="U1" s="29" t="s">
        <v>56</v>
      </c>
      <c r="V1" s="29" t="s">
        <v>57</v>
      </c>
      <c r="W1" s="29" t="s">
        <v>58</v>
      </c>
      <c r="X1" s="30">
        <f t="array" ref="X1:X1074">IF($D$1:$D1074="", 
     "", 
     XLOOKUP($D$1:$D1074, 'Lat long'!$A:$A, 'Lat long'!B:B, 0)
  )
</f>
        <v>0</v>
      </c>
      <c r="Y1" s="30">
        <f t="array" ref="Y1:Y1074">IF($D$1:$D1074="", 
     "", 
     XLOOKUP($D$1:$D1074, 'Lat long'!$A:$A, 'Lat long'!C:C, 0)
  )
</f>
        <v>0</v>
      </c>
      <c r="Z1" s="29" t="s">
        <v>59</v>
      </c>
      <c r="AA1" s="29" t="s">
        <v>60</v>
      </c>
    </row>
    <row r="2">
      <c r="A2" s="2" t="s">
        <v>61</v>
      </c>
      <c r="B2" s="31">
        <v>46234.0</v>
      </c>
      <c r="C2" s="2" t="s">
        <v>62</v>
      </c>
      <c r="D2" s="2" t="s">
        <v>62</v>
      </c>
      <c r="E2" s="2" t="s">
        <v>63</v>
      </c>
      <c r="F2" s="2">
        <v>1305.0</v>
      </c>
      <c r="G2" s="2">
        <v>52580.0</v>
      </c>
      <c r="H2" s="2">
        <v>21.0</v>
      </c>
      <c r="I2" s="2"/>
      <c r="J2" s="2">
        <v>0.0</v>
      </c>
      <c r="K2" s="2">
        <v>27.0</v>
      </c>
      <c r="L2" s="2"/>
      <c r="M2" s="2"/>
      <c r="N2" s="2">
        <v>43.0</v>
      </c>
      <c r="O2" s="2">
        <v>7000.0</v>
      </c>
      <c r="P2" s="15">
        <v>301000.0</v>
      </c>
      <c r="Q2" s="32">
        <v>46235.78913252315</v>
      </c>
      <c r="R2" s="2" t="s">
        <v>64</v>
      </c>
      <c r="S2" s="2">
        <v>7.063210949E9</v>
      </c>
      <c r="X2" s="30">
        <v>98.14052</v>
      </c>
      <c r="Y2" s="30">
        <v>13.90509</v>
      </c>
      <c r="Z2" s="33"/>
      <c r="AA2" s="33"/>
    </row>
    <row r="3">
      <c r="A3" s="2" t="s">
        <v>65</v>
      </c>
      <c r="B3" s="31">
        <v>46235.0</v>
      </c>
      <c r="C3" s="2" t="s">
        <v>66</v>
      </c>
      <c r="D3" s="2" t="s">
        <v>66</v>
      </c>
      <c r="E3" s="2" t="s">
        <v>67</v>
      </c>
      <c r="F3" s="2">
        <v>3790.0</v>
      </c>
      <c r="G3" s="2">
        <v>12205.0</v>
      </c>
      <c r="H3" s="2">
        <v>22.0</v>
      </c>
      <c r="I3" s="2">
        <v>141.0</v>
      </c>
      <c r="J3" s="2"/>
      <c r="K3" s="2">
        <v>71.0</v>
      </c>
      <c r="L3" s="2">
        <v>457.0</v>
      </c>
      <c r="M3" s="2">
        <v>55.0</v>
      </c>
      <c r="N3" s="2">
        <v>434.0</v>
      </c>
      <c r="O3" s="2">
        <v>6500.0</v>
      </c>
      <c r="P3" s="15">
        <v>2821000.0</v>
      </c>
      <c r="Q3" s="32">
        <v>46235.75407929398</v>
      </c>
      <c r="R3" s="2" t="s">
        <v>68</v>
      </c>
      <c r="S3" s="2">
        <v>6.803058402E9</v>
      </c>
      <c r="X3" s="30">
        <v>99.02325</v>
      </c>
      <c r="Y3" s="30">
        <v>11.99671</v>
      </c>
      <c r="Z3" s="33"/>
      <c r="AA3" s="33"/>
    </row>
    <row r="4">
      <c r="A4" s="2" t="s">
        <v>69</v>
      </c>
      <c r="B4" s="31">
        <v>46235.0</v>
      </c>
      <c r="C4" s="2" t="s">
        <v>70</v>
      </c>
      <c r="D4" s="2" t="s">
        <v>70</v>
      </c>
      <c r="E4" s="2" t="s">
        <v>63</v>
      </c>
      <c r="F4" s="2">
        <v>11381.0</v>
      </c>
      <c r="G4" s="2">
        <v>42520.0</v>
      </c>
      <c r="H4" s="2">
        <v>17.0</v>
      </c>
      <c r="I4" s="2"/>
      <c r="J4" s="2"/>
      <c r="K4" s="2">
        <v>35.0</v>
      </c>
      <c r="L4" s="2"/>
      <c r="M4" s="2">
        <v>19.0</v>
      </c>
      <c r="N4" s="2">
        <v>221.0</v>
      </c>
      <c r="O4" s="2">
        <v>7500.0</v>
      </c>
      <c r="P4" s="15">
        <v>1657500.0</v>
      </c>
      <c r="Q4" s="32">
        <v>46235.68106260417</v>
      </c>
      <c r="R4" s="2" t="s">
        <v>64</v>
      </c>
      <c r="S4" s="2">
        <v>7.063210949E9</v>
      </c>
      <c r="X4" s="30">
        <v>98.183621</v>
      </c>
      <c r="Y4" s="30">
        <v>14.549636</v>
      </c>
      <c r="Z4" s="33"/>
      <c r="AA4" s="33"/>
    </row>
    <row r="5">
      <c r="A5" s="2" t="s">
        <v>71</v>
      </c>
      <c r="B5" s="31">
        <v>46235.0</v>
      </c>
      <c r="C5" s="2" t="s">
        <v>33</v>
      </c>
      <c r="D5" s="2" t="s">
        <v>33</v>
      </c>
      <c r="E5" s="2" t="s">
        <v>63</v>
      </c>
      <c r="F5" s="2">
        <v>34.0</v>
      </c>
      <c r="G5" s="2">
        <v>184.0</v>
      </c>
      <c r="H5" s="2">
        <v>11.0</v>
      </c>
      <c r="I5" s="2">
        <v>116.0</v>
      </c>
      <c r="J5" s="2">
        <v>8.0</v>
      </c>
      <c r="K5" s="2">
        <v>32.0</v>
      </c>
      <c r="L5" s="2">
        <v>339.0</v>
      </c>
      <c r="M5" s="2">
        <v>23.0</v>
      </c>
      <c r="N5" s="2">
        <v>227.0</v>
      </c>
      <c r="O5" s="2">
        <v>7500.0</v>
      </c>
      <c r="P5" s="15">
        <v>1702500.0</v>
      </c>
      <c r="Q5" s="32">
        <v>46235.60218030092</v>
      </c>
      <c r="R5" s="2" t="s">
        <v>64</v>
      </c>
      <c r="S5" s="2">
        <v>7.063210949E9</v>
      </c>
      <c r="X5" s="30">
        <v>98.168925</v>
      </c>
      <c r="Y5" s="30">
        <v>14.616438</v>
      </c>
      <c r="Z5" s="33"/>
      <c r="AA5" s="33"/>
    </row>
    <row r="6">
      <c r="A6" s="2" t="s">
        <v>72</v>
      </c>
      <c r="B6" s="31">
        <v>46235.0</v>
      </c>
      <c r="C6" s="2" t="s">
        <v>35</v>
      </c>
      <c r="D6" s="2" t="s">
        <v>35</v>
      </c>
      <c r="E6" s="2" t="s">
        <v>63</v>
      </c>
      <c r="F6" s="2">
        <v>1263.0</v>
      </c>
      <c r="G6" s="2"/>
      <c r="H6" s="2">
        <v>7.0</v>
      </c>
      <c r="I6" s="2"/>
      <c r="J6" s="2"/>
      <c r="K6" s="2">
        <v>27.0</v>
      </c>
      <c r="L6" s="2"/>
      <c r="M6" s="2"/>
      <c r="N6" s="2">
        <v>221.0</v>
      </c>
      <c r="O6" s="2">
        <v>7500.0</v>
      </c>
      <c r="P6" s="15">
        <v>1657500.0</v>
      </c>
      <c r="Q6" s="32">
        <v>46235.5493737037</v>
      </c>
      <c r="R6" s="2" t="s">
        <v>64</v>
      </c>
      <c r="S6" s="2">
        <v>7.063210949E9</v>
      </c>
      <c r="X6" s="30">
        <v>98.02777</v>
      </c>
      <c r="Y6" s="30">
        <v>14.59855</v>
      </c>
      <c r="Z6" s="33"/>
      <c r="AA6" s="33"/>
    </row>
    <row r="7">
      <c r="A7" s="2" t="s">
        <v>73</v>
      </c>
      <c r="B7" s="31">
        <v>46234.0</v>
      </c>
      <c r="C7" s="2" t="s">
        <v>33</v>
      </c>
      <c r="D7" s="2" t="s">
        <v>33</v>
      </c>
      <c r="E7" s="2" t="s">
        <v>63</v>
      </c>
      <c r="F7" s="2">
        <v>24.0</v>
      </c>
      <c r="G7" s="2">
        <v>134.0</v>
      </c>
      <c r="H7" s="2">
        <v>0.0</v>
      </c>
      <c r="I7" s="2">
        <v>0.0</v>
      </c>
      <c r="J7" s="2">
        <v>0.0</v>
      </c>
      <c r="K7" s="2"/>
      <c r="L7" s="2"/>
      <c r="M7" s="2"/>
      <c r="N7" s="2">
        <v>101.0</v>
      </c>
      <c r="O7" s="2">
        <v>6500.0</v>
      </c>
      <c r="P7" s="15">
        <v>656500.0</v>
      </c>
      <c r="Q7" s="32">
        <v>46234.8663624537</v>
      </c>
      <c r="R7" s="2" t="s">
        <v>64</v>
      </c>
      <c r="S7" s="2">
        <v>7.063210949E9</v>
      </c>
      <c r="X7" s="30">
        <v>98.168925</v>
      </c>
      <c r="Y7" s="30">
        <v>14.616438</v>
      </c>
      <c r="Z7" s="33"/>
      <c r="AA7" s="33"/>
    </row>
    <row r="8">
      <c r="A8" s="2" t="s">
        <v>74</v>
      </c>
      <c r="B8" s="31">
        <v>46232.0</v>
      </c>
      <c r="C8" s="2" t="s">
        <v>75</v>
      </c>
      <c r="D8" s="2" t="s">
        <v>75</v>
      </c>
      <c r="E8" s="2" t="s">
        <v>63</v>
      </c>
      <c r="F8" s="2"/>
      <c r="G8" s="2"/>
      <c r="H8" s="2"/>
      <c r="I8" s="2"/>
      <c r="J8" s="2">
        <v>0.0</v>
      </c>
      <c r="K8" s="2"/>
      <c r="L8" s="2"/>
      <c r="M8" s="2"/>
      <c r="N8" s="2">
        <v>221.0</v>
      </c>
      <c r="O8" s="2">
        <v>7500.0</v>
      </c>
      <c r="P8" s="15">
        <v>1657500.0</v>
      </c>
      <c r="Q8" s="32">
        <v>46234.8647530787</v>
      </c>
      <c r="R8" s="2" t="s">
        <v>64</v>
      </c>
      <c r="S8" s="2">
        <v>7.063210949E9</v>
      </c>
      <c r="X8" s="30">
        <v>98.35678</v>
      </c>
      <c r="Y8" s="30">
        <v>13.735522</v>
      </c>
      <c r="Z8" s="33"/>
      <c r="AA8" s="33"/>
    </row>
    <row r="9">
      <c r="A9" s="2" t="s">
        <v>76</v>
      </c>
      <c r="B9" s="31">
        <v>46232.0</v>
      </c>
      <c r="C9" s="2" t="s">
        <v>77</v>
      </c>
      <c r="D9" s="2" t="s">
        <v>77</v>
      </c>
      <c r="E9" s="2" t="s">
        <v>78</v>
      </c>
      <c r="F9" s="2">
        <v>0.0</v>
      </c>
      <c r="G9" s="2">
        <v>0.0</v>
      </c>
      <c r="H9" s="2">
        <v>0.0</v>
      </c>
      <c r="I9" s="2">
        <v>0.0</v>
      </c>
      <c r="J9" s="2">
        <v>0.0</v>
      </c>
      <c r="K9" s="2">
        <v>0.0</v>
      </c>
      <c r="L9" s="2">
        <v>0.0</v>
      </c>
      <c r="M9" s="2"/>
      <c r="N9" s="2">
        <v>446.0</v>
      </c>
      <c r="O9" s="2">
        <v>6500.0</v>
      </c>
      <c r="P9" s="15">
        <v>2899000.0</v>
      </c>
      <c r="Q9" s="32">
        <v>46234.74524049769</v>
      </c>
      <c r="R9" s="2" t="s">
        <v>68</v>
      </c>
      <c r="S9" s="2">
        <v>6.803058402E9</v>
      </c>
      <c r="X9" s="30">
        <v>98.78191</v>
      </c>
      <c r="Y9" s="30">
        <v>11.6832</v>
      </c>
      <c r="Z9" s="33"/>
      <c r="AA9" s="33"/>
    </row>
    <row r="10">
      <c r="A10" s="2" t="s">
        <v>79</v>
      </c>
      <c r="B10" s="31">
        <v>46233.0</v>
      </c>
      <c r="C10" s="2" t="s">
        <v>80</v>
      </c>
      <c r="D10" s="2" t="s">
        <v>80</v>
      </c>
      <c r="E10" s="2" t="s">
        <v>78</v>
      </c>
      <c r="F10" s="2">
        <v>223.0</v>
      </c>
      <c r="G10" s="2">
        <v>874.0</v>
      </c>
      <c r="H10" s="2">
        <v>35.0</v>
      </c>
      <c r="I10" s="2">
        <v>371.0</v>
      </c>
      <c r="J10" s="2">
        <v>1.0</v>
      </c>
      <c r="K10" s="2">
        <v>35.0</v>
      </c>
      <c r="L10" s="2">
        <v>371.0</v>
      </c>
      <c r="M10" s="2">
        <v>30.0</v>
      </c>
      <c r="N10" s="2">
        <v>439.0</v>
      </c>
      <c r="O10" s="2">
        <v>6500.0</v>
      </c>
      <c r="P10" s="15">
        <v>2853500.0</v>
      </c>
      <c r="Q10" s="32">
        <v>46234.74433559028</v>
      </c>
      <c r="R10" s="2" t="s">
        <v>68</v>
      </c>
      <c r="S10" s="2">
        <v>6.803058402E9</v>
      </c>
      <c r="X10" s="30">
        <v>98.2984</v>
      </c>
      <c r="Y10" s="30">
        <v>11.8526</v>
      </c>
      <c r="Z10" s="33"/>
      <c r="AA10" s="33"/>
    </row>
    <row r="11">
      <c r="A11" s="2" t="s">
        <v>81</v>
      </c>
      <c r="B11" s="31">
        <v>46228.0</v>
      </c>
      <c r="C11" s="2" t="s">
        <v>82</v>
      </c>
      <c r="D11" s="2" t="s">
        <v>82</v>
      </c>
      <c r="E11" s="2" t="s">
        <v>67</v>
      </c>
      <c r="F11" s="2">
        <v>11940.0</v>
      </c>
      <c r="G11" s="2">
        <v>19883.0</v>
      </c>
      <c r="H11" s="2">
        <v>13.0</v>
      </c>
      <c r="I11" s="2">
        <v>286.0</v>
      </c>
      <c r="J11" s="2">
        <v>2.0</v>
      </c>
      <c r="K11" s="2">
        <v>100.0</v>
      </c>
      <c r="L11" s="2">
        <v>1024.0</v>
      </c>
      <c r="M11" s="2"/>
      <c r="N11" s="2">
        <v>262.0</v>
      </c>
      <c r="O11" s="2">
        <v>6500.0</v>
      </c>
      <c r="P11" s="15">
        <v>1703000.0</v>
      </c>
      <c r="Q11" s="32">
        <v>46234.743743252315</v>
      </c>
      <c r="R11" s="2" t="s">
        <v>68</v>
      </c>
      <c r="S11" s="2">
        <v>6.803058402E9</v>
      </c>
      <c r="X11" s="30">
        <v>98.669032</v>
      </c>
      <c r="Y11" s="30">
        <v>10.987216</v>
      </c>
      <c r="Z11" s="33"/>
      <c r="AA11" s="33"/>
    </row>
    <row r="12">
      <c r="A12" s="2" t="s">
        <v>83</v>
      </c>
      <c r="B12" s="31">
        <v>46233.0</v>
      </c>
      <c r="C12" s="2" t="s">
        <v>84</v>
      </c>
      <c r="D12" s="2" t="s">
        <v>84</v>
      </c>
      <c r="E12" s="2" t="s">
        <v>78</v>
      </c>
      <c r="F12" s="2">
        <v>17847.0</v>
      </c>
      <c r="G12" s="2">
        <v>144952.0</v>
      </c>
      <c r="H12" s="2">
        <v>2.0</v>
      </c>
      <c r="I12" s="2">
        <v>15.0</v>
      </c>
      <c r="J12" s="2">
        <v>1.0</v>
      </c>
      <c r="K12" s="2">
        <v>2.0</v>
      </c>
      <c r="L12" s="2">
        <v>23.0</v>
      </c>
      <c r="M12" s="2">
        <v>4.0</v>
      </c>
      <c r="N12" s="2">
        <v>48.0</v>
      </c>
      <c r="O12" s="2">
        <v>6500.0</v>
      </c>
      <c r="P12" s="15">
        <v>312000.0</v>
      </c>
      <c r="Q12" s="32">
        <v>46234.74307054398</v>
      </c>
      <c r="R12" s="2" t="s">
        <v>68</v>
      </c>
      <c r="S12" s="2">
        <v>6.803058402E9</v>
      </c>
      <c r="X12" s="30">
        <v>98.51769</v>
      </c>
      <c r="Y12" s="30">
        <v>11.793</v>
      </c>
      <c r="Z12" s="33"/>
      <c r="AA12" s="33"/>
    </row>
    <row r="13">
      <c r="A13" s="2" t="s">
        <v>85</v>
      </c>
      <c r="B13" s="31">
        <v>46230.0</v>
      </c>
      <c r="C13" s="2" t="s">
        <v>86</v>
      </c>
      <c r="D13" s="2" t="s">
        <v>86</v>
      </c>
      <c r="E13" s="2" t="s">
        <v>78</v>
      </c>
      <c r="F13" s="2">
        <v>15181.0</v>
      </c>
      <c r="G13" s="2">
        <v>39432.0</v>
      </c>
      <c r="H13" s="2"/>
      <c r="I13" s="2">
        <v>148.0</v>
      </c>
      <c r="J13" s="2">
        <v>4.0</v>
      </c>
      <c r="K13" s="2">
        <v>71.0</v>
      </c>
      <c r="L13" s="2">
        <v>752.0</v>
      </c>
      <c r="M13" s="2"/>
      <c r="N13" s="2">
        <v>886.0</v>
      </c>
      <c r="O13" s="2">
        <v>6500.0</v>
      </c>
      <c r="P13" s="15">
        <v>5759000.0</v>
      </c>
      <c r="Q13" s="32">
        <v>46233.791268298606</v>
      </c>
      <c r="R13" s="2" t="s">
        <v>68</v>
      </c>
      <c r="S13" s="2">
        <v>6.803058402E9</v>
      </c>
      <c r="X13" s="30">
        <v>98.672633</v>
      </c>
      <c r="Y13" s="30">
        <v>12.930661</v>
      </c>
      <c r="Z13" s="33"/>
      <c r="AA13" s="33"/>
    </row>
    <row r="14">
      <c r="A14" s="2" t="s">
        <v>87</v>
      </c>
      <c r="B14" s="31">
        <v>46232.0</v>
      </c>
      <c r="C14" s="2" t="s">
        <v>35</v>
      </c>
      <c r="D14" s="2" t="s">
        <v>35</v>
      </c>
      <c r="E14" s="2" t="s">
        <v>63</v>
      </c>
      <c r="F14" s="2">
        <v>1205.0</v>
      </c>
      <c r="G14" s="2"/>
      <c r="H14" s="2"/>
      <c r="I14" s="2"/>
      <c r="J14" s="2"/>
      <c r="K14" s="2">
        <v>23.0</v>
      </c>
      <c r="L14" s="2">
        <v>243.0</v>
      </c>
      <c r="M14" s="2"/>
      <c r="N14" s="2">
        <v>242.0</v>
      </c>
      <c r="O14" s="2">
        <v>8500.0</v>
      </c>
      <c r="P14" s="15">
        <v>2057000.0</v>
      </c>
      <c r="Q14" s="32">
        <v>46232.89063712963</v>
      </c>
      <c r="R14" s="2" t="s">
        <v>64</v>
      </c>
      <c r="S14" s="2">
        <v>7.063210949E9</v>
      </c>
      <c r="X14" s="30">
        <v>98.02777</v>
      </c>
      <c r="Y14" s="30">
        <v>14.59855</v>
      </c>
      <c r="Z14" s="33"/>
      <c r="AA14" s="33"/>
    </row>
    <row r="15">
      <c r="A15" s="2" t="s">
        <v>88</v>
      </c>
      <c r="B15" s="31">
        <v>46231.0</v>
      </c>
      <c r="C15" s="2" t="s">
        <v>89</v>
      </c>
      <c r="D15" s="2" t="s">
        <v>89</v>
      </c>
      <c r="E15" s="2" t="s">
        <v>63</v>
      </c>
      <c r="F15" s="2">
        <v>4306.0</v>
      </c>
      <c r="G15" s="2">
        <v>16296.0</v>
      </c>
      <c r="H15" s="2">
        <v>18.0</v>
      </c>
      <c r="I15" s="2"/>
      <c r="J15" s="2">
        <v>2.0</v>
      </c>
      <c r="K15" s="2">
        <v>67.0</v>
      </c>
      <c r="L15" s="2"/>
      <c r="M15" s="2"/>
      <c r="N15" s="2">
        <v>660.0</v>
      </c>
      <c r="O15" s="2">
        <v>6500.0</v>
      </c>
      <c r="P15" s="15">
        <v>4290000.0</v>
      </c>
      <c r="Q15" s="32">
        <v>46232.88951167824</v>
      </c>
      <c r="R15" s="2" t="s">
        <v>64</v>
      </c>
      <c r="S15" s="2">
        <v>7.063210949E9</v>
      </c>
      <c r="X15" s="30">
        <v>98.30087</v>
      </c>
      <c r="Y15" s="30">
        <v>13.665888</v>
      </c>
      <c r="Z15" s="33"/>
      <c r="AA15" s="33"/>
    </row>
    <row r="16">
      <c r="A16" s="2" t="s">
        <v>90</v>
      </c>
      <c r="B16" s="31">
        <v>46232.0</v>
      </c>
      <c r="C16" s="2" t="s">
        <v>91</v>
      </c>
      <c r="D16" s="2" t="s">
        <v>91</v>
      </c>
      <c r="E16" s="2" t="s">
        <v>67</v>
      </c>
      <c r="F16" s="2">
        <v>18958.0</v>
      </c>
      <c r="G16" s="2">
        <v>39447.0</v>
      </c>
      <c r="H16" s="2">
        <v>24.0</v>
      </c>
      <c r="I16" s="2">
        <v>245.0</v>
      </c>
      <c r="J16" s="2"/>
      <c r="K16" s="2">
        <v>55.0</v>
      </c>
      <c r="L16" s="2">
        <v>563.0</v>
      </c>
      <c r="M16" s="2">
        <v>35.0</v>
      </c>
      <c r="N16" s="2">
        <v>449.0</v>
      </c>
      <c r="O16" s="2">
        <v>6500.0</v>
      </c>
      <c r="P16" s="15">
        <v>2918500.0</v>
      </c>
      <c r="Q16" s="32">
        <v>46232.70050293981</v>
      </c>
      <c r="R16" s="2" t="s">
        <v>68</v>
      </c>
      <c r="S16" s="2">
        <v>6.803058402E9</v>
      </c>
      <c r="X16" s="30">
        <v>98.99112</v>
      </c>
      <c r="Y16" s="30">
        <v>11.45099</v>
      </c>
      <c r="Z16" s="33"/>
      <c r="AA16" s="33"/>
    </row>
    <row r="17">
      <c r="A17" s="2" t="s">
        <v>92</v>
      </c>
      <c r="B17" s="31">
        <v>46232.0</v>
      </c>
      <c r="C17" s="2" t="s">
        <v>93</v>
      </c>
      <c r="D17" s="2" t="s">
        <v>93</v>
      </c>
      <c r="E17" s="2" t="s">
        <v>67</v>
      </c>
      <c r="F17" s="2">
        <v>2481.0</v>
      </c>
      <c r="G17" s="2">
        <v>11049.0</v>
      </c>
      <c r="H17" s="2">
        <v>16.0</v>
      </c>
      <c r="I17" s="2">
        <v>169.0</v>
      </c>
      <c r="J17" s="2">
        <v>6.0</v>
      </c>
      <c r="K17" s="2">
        <v>68.0</v>
      </c>
      <c r="L17" s="2">
        <v>720.0</v>
      </c>
      <c r="M17" s="2"/>
      <c r="N17" s="2">
        <v>659.0</v>
      </c>
      <c r="O17" s="2">
        <v>6500.0</v>
      </c>
      <c r="P17" s="15">
        <v>4283500.0</v>
      </c>
      <c r="Q17" s="32">
        <v>46232.53243090278</v>
      </c>
      <c r="R17" s="2" t="s">
        <v>68</v>
      </c>
      <c r="S17" s="2">
        <v>6.803058402E9</v>
      </c>
      <c r="X17" s="30">
        <v>98.761003</v>
      </c>
      <c r="Y17" s="30">
        <v>11.229401</v>
      </c>
      <c r="Z17" s="33"/>
      <c r="AA17" s="33"/>
    </row>
    <row r="18">
      <c r="A18" s="2" t="s">
        <v>94</v>
      </c>
      <c r="B18" s="31">
        <v>46231.0</v>
      </c>
      <c r="C18" s="2" t="s">
        <v>95</v>
      </c>
      <c r="D18" s="2" t="s">
        <v>95</v>
      </c>
      <c r="E18" s="2" t="s">
        <v>78</v>
      </c>
      <c r="F18" s="2">
        <v>6070.0</v>
      </c>
      <c r="G18" s="2">
        <v>61428.0</v>
      </c>
      <c r="H18" s="2">
        <v>0.0</v>
      </c>
      <c r="I18" s="2">
        <v>0.0</v>
      </c>
      <c r="J18" s="2"/>
      <c r="K18" s="2">
        <v>0.0</v>
      </c>
      <c r="L18" s="2">
        <v>0.0</v>
      </c>
      <c r="M18" s="2">
        <v>15.0</v>
      </c>
      <c r="N18" s="2">
        <v>114.0</v>
      </c>
      <c r="O18" s="2">
        <v>6500.0</v>
      </c>
      <c r="P18" s="15">
        <v>741000.0</v>
      </c>
      <c r="Q18" s="32">
        <v>46232.36351740741</v>
      </c>
      <c r="R18" s="2" t="s">
        <v>68</v>
      </c>
      <c r="S18" s="2">
        <v>6.803058402E9</v>
      </c>
      <c r="X18" s="30">
        <v>98.4931</v>
      </c>
      <c r="Y18" s="30">
        <v>12.3567</v>
      </c>
      <c r="Z18" s="33"/>
      <c r="AA18" s="33"/>
    </row>
    <row r="19">
      <c r="A19" s="2" t="s">
        <v>96</v>
      </c>
      <c r="B19" s="31">
        <v>46228.0</v>
      </c>
      <c r="C19" s="2" t="s">
        <v>84</v>
      </c>
      <c r="D19" s="2" t="s">
        <v>84</v>
      </c>
      <c r="E19" s="2" t="s">
        <v>78</v>
      </c>
      <c r="F19" s="2">
        <v>17739.0</v>
      </c>
      <c r="G19" s="2">
        <v>144760.0</v>
      </c>
      <c r="H19" s="2">
        <v>14.0</v>
      </c>
      <c r="I19" s="2">
        <v>109.0</v>
      </c>
      <c r="J19" s="2">
        <v>1.0</v>
      </c>
      <c r="K19" s="2">
        <v>14.0</v>
      </c>
      <c r="L19" s="2">
        <v>109.0</v>
      </c>
      <c r="M19" s="2">
        <v>28.0</v>
      </c>
      <c r="N19" s="2">
        <v>437.0</v>
      </c>
      <c r="O19" s="2">
        <v>6500.0</v>
      </c>
      <c r="P19" s="15">
        <v>2840500.0</v>
      </c>
      <c r="Q19" s="32">
        <v>46232.36279696759</v>
      </c>
      <c r="R19" s="2" t="s">
        <v>68</v>
      </c>
      <c r="S19" s="2">
        <v>6.803058402E9</v>
      </c>
      <c r="X19" s="30">
        <v>98.51769</v>
      </c>
      <c r="Y19" s="30">
        <v>11.793</v>
      </c>
      <c r="Z19" s="33"/>
      <c r="AA19" s="33"/>
    </row>
    <row r="20">
      <c r="A20" s="2" t="s">
        <v>97</v>
      </c>
      <c r="B20" s="31">
        <v>46230.0</v>
      </c>
      <c r="C20" s="2" t="s">
        <v>33</v>
      </c>
      <c r="D20" s="2" t="s">
        <v>33</v>
      </c>
      <c r="E20" s="2" t="s">
        <v>63</v>
      </c>
      <c r="F20" s="2"/>
      <c r="G20" s="2"/>
      <c r="H20" s="2">
        <v>0.0</v>
      </c>
      <c r="I20" s="2">
        <v>0.0</v>
      </c>
      <c r="J20" s="2">
        <v>0.0</v>
      </c>
      <c r="K20" s="2">
        <v>9.0</v>
      </c>
      <c r="L20" s="2"/>
      <c r="M20" s="2"/>
      <c r="N20" s="2">
        <v>99.0</v>
      </c>
      <c r="O20" s="2">
        <v>6500.0</v>
      </c>
      <c r="P20" s="15">
        <v>643500.0</v>
      </c>
      <c r="Q20" s="32">
        <v>46232.04148613426</v>
      </c>
      <c r="R20" s="2" t="s">
        <v>64</v>
      </c>
      <c r="S20" s="2">
        <v>7.063210949E9</v>
      </c>
      <c r="X20" s="30">
        <v>98.168925</v>
      </c>
      <c r="Y20" s="30">
        <v>14.616438</v>
      </c>
      <c r="Z20" s="33"/>
      <c r="AA20" s="33"/>
    </row>
    <row r="21">
      <c r="A21" s="2" t="s">
        <v>98</v>
      </c>
      <c r="B21" s="31">
        <v>46201.0</v>
      </c>
      <c r="C21" s="2" t="s">
        <v>99</v>
      </c>
      <c r="D21" s="2" t="s">
        <v>100</v>
      </c>
      <c r="E21" s="2" t="s">
        <v>67</v>
      </c>
      <c r="F21" s="2">
        <v>10463.0</v>
      </c>
      <c r="G21" s="2">
        <v>16551.0</v>
      </c>
      <c r="H21" s="2">
        <v>0.0</v>
      </c>
      <c r="I21" s="2">
        <v>0.0</v>
      </c>
      <c r="J21" s="2">
        <v>10.0</v>
      </c>
      <c r="K21" s="2">
        <v>65.0</v>
      </c>
      <c r="L21" s="2">
        <v>418.0</v>
      </c>
      <c r="M21" s="2"/>
      <c r="N21" s="2">
        <v>219.0</v>
      </c>
      <c r="O21" s="2">
        <v>6500.0</v>
      </c>
      <c r="P21" s="15">
        <v>1423500.0</v>
      </c>
      <c r="Q21" s="32">
        <v>46231.74818943287</v>
      </c>
      <c r="R21" s="2" t="s">
        <v>68</v>
      </c>
      <c r="S21" s="2">
        <v>6.803058402E9</v>
      </c>
      <c r="X21" s="30">
        <v>98.751824</v>
      </c>
      <c r="Y21" s="30">
        <v>11.064117</v>
      </c>
      <c r="Z21" s="33"/>
      <c r="AA21" s="33"/>
    </row>
    <row r="22">
      <c r="A22" s="2" t="s">
        <v>101</v>
      </c>
      <c r="B22" s="31">
        <v>46231.0</v>
      </c>
      <c r="C22" s="2" t="s">
        <v>102</v>
      </c>
      <c r="D22" s="2" t="s">
        <v>102</v>
      </c>
      <c r="E22" s="2" t="s">
        <v>63</v>
      </c>
      <c r="F22" s="2">
        <v>12650.0</v>
      </c>
      <c r="G22" s="2"/>
      <c r="H22" s="2"/>
      <c r="I22" s="2"/>
      <c r="J22" s="2">
        <v>0.0</v>
      </c>
      <c r="K22" s="2"/>
      <c r="L22" s="2"/>
      <c r="M22" s="2">
        <v>15.0</v>
      </c>
      <c r="N22" s="2">
        <v>227.0</v>
      </c>
      <c r="O22" s="2">
        <v>6500.0</v>
      </c>
      <c r="P22" s="15">
        <v>1475500.0</v>
      </c>
      <c r="Q22" s="32">
        <v>46231.739187997686</v>
      </c>
      <c r="R22" s="2" t="s">
        <v>64</v>
      </c>
      <c r="S22" s="2">
        <v>7.063210949E9</v>
      </c>
      <c r="X22" s="30">
        <v>98.265277</v>
      </c>
      <c r="Y22" s="30">
        <v>13.81292</v>
      </c>
      <c r="Z22" s="33"/>
      <c r="AA22" s="33"/>
    </row>
    <row r="23">
      <c r="A23" s="2" t="s">
        <v>103</v>
      </c>
      <c r="B23" s="31">
        <v>46201.0</v>
      </c>
      <c r="C23" s="2" t="s">
        <v>104</v>
      </c>
      <c r="D23" s="2" t="s">
        <v>104</v>
      </c>
      <c r="E23" s="2" t="s">
        <v>67</v>
      </c>
      <c r="F23" s="2">
        <v>3489.0</v>
      </c>
      <c r="G23" s="2">
        <v>8160.0</v>
      </c>
      <c r="H23" s="2">
        <v>66.0</v>
      </c>
      <c r="I23" s="2">
        <v>757.0</v>
      </c>
      <c r="J23" s="2">
        <v>22.0</v>
      </c>
      <c r="K23" s="2">
        <v>66.0</v>
      </c>
      <c r="L23" s="2">
        <v>757.0</v>
      </c>
      <c r="M23" s="2">
        <v>71.0</v>
      </c>
      <c r="N23" s="2">
        <v>657.0</v>
      </c>
      <c r="O23" s="2">
        <v>6500.0</v>
      </c>
      <c r="P23" s="15">
        <v>4270500.0</v>
      </c>
      <c r="Q23" s="32">
        <v>46231.57637340278</v>
      </c>
      <c r="R23" s="2" t="s">
        <v>68</v>
      </c>
      <c r="S23" s="2">
        <v>6.803058402E9</v>
      </c>
      <c r="X23" s="30">
        <v>98.71077</v>
      </c>
      <c r="Y23" s="30">
        <v>10.84637</v>
      </c>
      <c r="Z23" s="33"/>
      <c r="AA23" s="33"/>
    </row>
    <row r="24">
      <c r="A24" s="2" t="s">
        <v>105</v>
      </c>
      <c r="B24" s="31">
        <v>46229.0</v>
      </c>
      <c r="C24" s="2" t="s">
        <v>106</v>
      </c>
      <c r="D24" s="2" t="s">
        <v>107</v>
      </c>
      <c r="E24" s="2" t="s">
        <v>78</v>
      </c>
      <c r="F24" s="2">
        <v>2.0</v>
      </c>
      <c r="G24" s="2">
        <v>12.0</v>
      </c>
      <c r="H24" s="2">
        <v>0.0</v>
      </c>
      <c r="I24" s="2">
        <v>0.0</v>
      </c>
      <c r="J24" s="2">
        <v>0.0</v>
      </c>
      <c r="K24" s="2">
        <v>37.0</v>
      </c>
      <c r="L24" s="2">
        <v>372.0</v>
      </c>
      <c r="M24" s="2">
        <v>29.0</v>
      </c>
      <c r="N24" s="2">
        <v>439.0</v>
      </c>
      <c r="O24" s="2">
        <v>5800.0</v>
      </c>
      <c r="P24" s="15">
        <v>2546200.0</v>
      </c>
      <c r="Q24" s="32">
        <v>46231.575771296295</v>
      </c>
      <c r="R24" s="2" t="s">
        <v>68</v>
      </c>
      <c r="S24" s="2">
        <v>6.803058402E9</v>
      </c>
      <c r="X24" s="30">
        <v>98.682944</v>
      </c>
      <c r="Y24" s="30">
        <v>12.47432</v>
      </c>
      <c r="Z24" s="33"/>
      <c r="AA24" s="33"/>
    </row>
    <row r="25">
      <c r="A25" s="2" t="s">
        <v>108</v>
      </c>
      <c r="B25" s="31">
        <v>46230.0</v>
      </c>
      <c r="C25" s="2" t="s">
        <v>62</v>
      </c>
      <c r="D25" s="2" t="s">
        <v>62</v>
      </c>
      <c r="E25" s="2" t="s">
        <v>63</v>
      </c>
      <c r="F25" s="2">
        <v>1288.0</v>
      </c>
      <c r="G25" s="2">
        <v>52520.0</v>
      </c>
      <c r="H25" s="2">
        <v>22.0</v>
      </c>
      <c r="I25" s="2"/>
      <c r="J25" s="2">
        <v>0.0</v>
      </c>
      <c r="K25" s="2">
        <v>77.0</v>
      </c>
      <c r="L25" s="2"/>
      <c r="M25" s="2"/>
      <c r="N25" s="2">
        <v>425.0</v>
      </c>
      <c r="O25" s="2">
        <v>6500.0</v>
      </c>
      <c r="P25" s="15">
        <v>2762500.0</v>
      </c>
      <c r="Q25" s="32">
        <v>46230.68989577546</v>
      </c>
      <c r="R25" s="2" t="s">
        <v>64</v>
      </c>
      <c r="S25" s="2">
        <v>7.063210949E9</v>
      </c>
      <c r="X25" s="30">
        <v>98.14052</v>
      </c>
      <c r="Y25" s="30">
        <v>13.90509</v>
      </c>
      <c r="Z25" s="33"/>
      <c r="AA25" s="33"/>
    </row>
    <row r="26">
      <c r="A26" s="2" t="s">
        <v>109</v>
      </c>
      <c r="B26" s="31">
        <v>46228.0</v>
      </c>
      <c r="C26" s="2" t="s">
        <v>110</v>
      </c>
      <c r="D26" s="2" t="s">
        <v>110</v>
      </c>
      <c r="E26" s="2" t="s">
        <v>78</v>
      </c>
      <c r="F26" s="2">
        <v>5582.0</v>
      </c>
      <c r="G26" s="2">
        <v>14616.0</v>
      </c>
      <c r="H26" s="2">
        <v>60.0</v>
      </c>
      <c r="I26" s="2">
        <v>614.0</v>
      </c>
      <c r="J26" s="2">
        <v>2.0</v>
      </c>
      <c r="K26" s="2">
        <v>60.0</v>
      </c>
      <c r="L26" s="2">
        <v>614.0</v>
      </c>
      <c r="M26" s="2"/>
      <c r="N26" s="2">
        <v>664.0</v>
      </c>
      <c r="O26" s="2">
        <v>6500.0</v>
      </c>
      <c r="P26" s="15">
        <v>4316000.0</v>
      </c>
      <c r="Q26" s="32">
        <v>46230.37157552083</v>
      </c>
      <c r="R26" s="2" t="s">
        <v>68</v>
      </c>
      <c r="S26" s="2">
        <v>6.803058402E9</v>
      </c>
      <c r="X26" s="30">
        <v>98.63154</v>
      </c>
      <c r="Y26" s="30">
        <v>13.11497</v>
      </c>
      <c r="Z26" s="33"/>
      <c r="AA26" s="33"/>
    </row>
    <row r="27">
      <c r="A27" s="2" t="s">
        <v>111</v>
      </c>
      <c r="B27" s="31">
        <v>46228.0</v>
      </c>
      <c r="C27" s="2" t="s">
        <v>112</v>
      </c>
      <c r="D27" s="2" t="s">
        <v>112</v>
      </c>
      <c r="E27" s="2" t="s">
        <v>63</v>
      </c>
      <c r="F27" s="2">
        <v>9500.0</v>
      </c>
      <c r="G27" s="2">
        <v>26083.0</v>
      </c>
      <c r="H27" s="2">
        <v>16.0</v>
      </c>
      <c r="I27" s="2"/>
      <c r="J27" s="2">
        <v>5.0</v>
      </c>
      <c r="K27" s="2">
        <v>25.0</v>
      </c>
      <c r="L27" s="2"/>
      <c r="M27" s="2"/>
      <c r="N27" s="2">
        <v>90.0</v>
      </c>
      <c r="O27" s="2">
        <v>6500.0</v>
      </c>
      <c r="P27" s="15">
        <v>585000.0</v>
      </c>
      <c r="Q27" s="32">
        <v>46229.82531922453</v>
      </c>
      <c r="R27" s="2" t="s">
        <v>64</v>
      </c>
      <c r="S27" s="2">
        <v>7.063210949E9</v>
      </c>
      <c r="X27" s="30">
        <v>98.139013</v>
      </c>
      <c r="Y27" s="30">
        <v>14.624267</v>
      </c>
      <c r="Z27" s="33"/>
      <c r="AA27" s="33"/>
    </row>
    <row r="28">
      <c r="A28" s="2" t="s">
        <v>113</v>
      </c>
      <c r="B28" s="31">
        <v>46229.0</v>
      </c>
      <c r="C28" s="2" t="s">
        <v>114</v>
      </c>
      <c r="D28" s="2" t="s">
        <v>115</v>
      </c>
      <c r="E28" s="2" t="s">
        <v>67</v>
      </c>
      <c r="F28" s="2">
        <v>29660.0</v>
      </c>
      <c r="G28" s="2">
        <v>131769.0</v>
      </c>
      <c r="H28" s="2">
        <v>0.0</v>
      </c>
      <c r="I28" s="2">
        <v>0.0</v>
      </c>
      <c r="J28" s="2">
        <v>4.0</v>
      </c>
      <c r="K28" s="2">
        <v>0.0</v>
      </c>
      <c r="L28" s="2">
        <v>0.0</v>
      </c>
      <c r="M28" s="2">
        <v>54.0</v>
      </c>
      <c r="N28" s="2">
        <v>878.0</v>
      </c>
      <c r="O28" s="2">
        <v>6500.0</v>
      </c>
      <c r="P28" s="15">
        <v>5707000.0</v>
      </c>
      <c r="Q28" s="32">
        <v>46229.81194090278</v>
      </c>
      <c r="R28" s="2" t="s">
        <v>68</v>
      </c>
      <c r="S28" s="2">
        <v>6.803058402E9</v>
      </c>
      <c r="X28" s="30">
        <v>98.73268</v>
      </c>
      <c r="Y28" s="30">
        <v>11.124256</v>
      </c>
      <c r="Z28" s="33"/>
      <c r="AA28" s="33"/>
    </row>
    <row r="29">
      <c r="A29" s="2" t="s">
        <v>116</v>
      </c>
      <c r="B29" s="31">
        <v>46229.0</v>
      </c>
      <c r="C29" s="2" t="s">
        <v>117</v>
      </c>
      <c r="D29" s="2" t="s">
        <v>115</v>
      </c>
      <c r="E29" s="2" t="s">
        <v>67</v>
      </c>
      <c r="F29" s="2">
        <v>35267.0</v>
      </c>
      <c r="G29" s="2">
        <v>162301.0</v>
      </c>
      <c r="H29" s="2">
        <v>0.0</v>
      </c>
      <c r="I29" s="2">
        <v>0.0</v>
      </c>
      <c r="J29" s="2">
        <v>4.0</v>
      </c>
      <c r="K29" s="2">
        <v>0.0</v>
      </c>
      <c r="L29" s="2">
        <v>0.0</v>
      </c>
      <c r="M29" s="2">
        <v>55.0</v>
      </c>
      <c r="N29" s="2">
        <v>896.0</v>
      </c>
      <c r="O29" s="2">
        <v>6500.0</v>
      </c>
      <c r="P29" s="15">
        <v>5824000.0</v>
      </c>
      <c r="Q29" s="32">
        <v>46229.81019780092</v>
      </c>
      <c r="R29" s="2" t="s">
        <v>68</v>
      </c>
      <c r="S29" s="2">
        <v>6.803058402E9</v>
      </c>
      <c r="X29" s="30">
        <v>98.73268</v>
      </c>
      <c r="Y29" s="30">
        <v>11.124256</v>
      </c>
      <c r="Z29" s="33"/>
      <c r="AA29" s="33"/>
    </row>
    <row r="30">
      <c r="A30" s="2" t="s">
        <v>118</v>
      </c>
      <c r="B30" s="31">
        <v>46229.0</v>
      </c>
      <c r="C30" s="2" t="s">
        <v>119</v>
      </c>
      <c r="D30" s="2" t="s">
        <v>119</v>
      </c>
      <c r="E30" s="2" t="s">
        <v>67</v>
      </c>
      <c r="F30" s="2">
        <v>4542.0</v>
      </c>
      <c r="G30" s="2">
        <v>13137.0</v>
      </c>
      <c r="H30" s="2">
        <v>100.0</v>
      </c>
      <c r="I30" s="2">
        <v>640.0</v>
      </c>
      <c r="J30" s="2">
        <v>1.0</v>
      </c>
      <c r="K30" s="2">
        <v>100.0</v>
      </c>
      <c r="L30" s="2">
        <v>640.0</v>
      </c>
      <c r="M30" s="2">
        <v>53.0</v>
      </c>
      <c r="N30" s="2">
        <v>438.0</v>
      </c>
      <c r="O30" s="2">
        <v>6500.0</v>
      </c>
      <c r="P30" s="15">
        <v>2847000.0</v>
      </c>
      <c r="Q30" s="32">
        <v>46229.502770810184</v>
      </c>
      <c r="R30" s="2" t="s">
        <v>68</v>
      </c>
      <c r="S30" s="2">
        <v>6.803058402E9</v>
      </c>
      <c r="X30" s="30">
        <v>99.05791</v>
      </c>
      <c r="Y30" s="30">
        <v>11.64351</v>
      </c>
      <c r="Z30" s="33"/>
      <c r="AA30" s="33"/>
    </row>
    <row r="31">
      <c r="A31" s="2" t="s">
        <v>120</v>
      </c>
      <c r="B31" s="31">
        <v>46227.0</v>
      </c>
      <c r="C31" s="2" t="s">
        <v>121</v>
      </c>
      <c r="D31" s="2" t="s">
        <v>121</v>
      </c>
      <c r="E31" s="2" t="s">
        <v>78</v>
      </c>
      <c r="F31" s="2">
        <v>168.0</v>
      </c>
      <c r="G31" s="2">
        <v>650.0</v>
      </c>
      <c r="H31" s="2">
        <v>21.0</v>
      </c>
      <c r="I31" s="2">
        <v>135.0</v>
      </c>
      <c r="J31" s="2">
        <v>9.0</v>
      </c>
      <c r="K31" s="2">
        <v>69.0</v>
      </c>
      <c r="L31" s="2">
        <v>444.0</v>
      </c>
      <c r="M31" s="2">
        <v>62.0</v>
      </c>
      <c r="N31" s="2">
        <v>447.0</v>
      </c>
      <c r="O31" s="2">
        <v>6500.0</v>
      </c>
      <c r="P31" s="15">
        <v>2905500.0</v>
      </c>
      <c r="Q31" s="32">
        <v>46228.738277048615</v>
      </c>
      <c r="R31" s="2" t="s">
        <v>68</v>
      </c>
      <c r="S31" s="2">
        <v>6.803058402E9</v>
      </c>
      <c r="X31" s="30">
        <v>98.708</v>
      </c>
      <c r="Y31" s="30">
        <v>11.7025</v>
      </c>
      <c r="Z31" s="33"/>
      <c r="AA31" s="33"/>
    </row>
    <row r="32">
      <c r="A32" s="2" t="s">
        <v>122</v>
      </c>
      <c r="B32" s="31">
        <v>46226.0</v>
      </c>
      <c r="C32" s="2" t="s">
        <v>123</v>
      </c>
      <c r="D32" s="2" t="s">
        <v>123</v>
      </c>
      <c r="E32" s="2" t="s">
        <v>78</v>
      </c>
      <c r="F32" s="2">
        <v>6722.0</v>
      </c>
      <c r="G32" s="2">
        <v>18821.0</v>
      </c>
      <c r="H32" s="2">
        <v>14.0</v>
      </c>
      <c r="I32" s="2">
        <v>90.0</v>
      </c>
      <c r="J32" s="2"/>
      <c r="K32" s="2">
        <v>64.0</v>
      </c>
      <c r="L32" s="2">
        <v>412.0</v>
      </c>
      <c r="M32" s="2">
        <v>61.0</v>
      </c>
      <c r="N32" s="2">
        <v>442.0</v>
      </c>
      <c r="O32" s="2">
        <v>6500.0</v>
      </c>
      <c r="P32" s="15">
        <v>2873000.0</v>
      </c>
      <c r="Q32" s="32">
        <v>46228.72948326389</v>
      </c>
      <c r="R32" s="2" t="s">
        <v>68</v>
      </c>
      <c r="S32" s="2">
        <v>6.803058402E9</v>
      </c>
      <c r="X32" s="30">
        <v>98.417654</v>
      </c>
      <c r="Y32" s="30">
        <v>11.610004</v>
      </c>
      <c r="Z32" s="33"/>
      <c r="AA32" s="33"/>
    </row>
    <row r="33">
      <c r="A33" s="2" t="s">
        <v>124</v>
      </c>
      <c r="B33" s="31">
        <v>46225.0</v>
      </c>
      <c r="C33" s="2" t="s">
        <v>80</v>
      </c>
      <c r="D33" s="2" t="s">
        <v>80</v>
      </c>
      <c r="E33" s="2" t="s">
        <v>78</v>
      </c>
      <c r="F33" s="2">
        <v>138.0</v>
      </c>
      <c r="G33" s="2">
        <v>546.0</v>
      </c>
      <c r="H33" s="2">
        <v>12.0</v>
      </c>
      <c r="I33" s="2">
        <v>127.0</v>
      </c>
      <c r="J33" s="2"/>
      <c r="K33" s="2">
        <v>18.0</v>
      </c>
      <c r="L33" s="2">
        <v>190.0</v>
      </c>
      <c r="M33" s="2">
        <v>20.0</v>
      </c>
      <c r="N33" s="2">
        <v>219.0</v>
      </c>
      <c r="O33" s="2">
        <v>6500.0</v>
      </c>
      <c r="P33" s="15">
        <v>1423500.0</v>
      </c>
      <c r="Q33" s="32">
        <v>46228.32647017361</v>
      </c>
      <c r="R33" s="2" t="s">
        <v>68</v>
      </c>
      <c r="S33" s="2">
        <v>6.803058402E9</v>
      </c>
      <c r="X33" s="30">
        <v>98.2984</v>
      </c>
      <c r="Y33" s="30">
        <v>11.8526</v>
      </c>
      <c r="Z33" s="33"/>
      <c r="AA33" s="33"/>
    </row>
    <row r="34">
      <c r="A34" s="2" t="s">
        <v>125</v>
      </c>
      <c r="B34" s="31">
        <v>46226.0</v>
      </c>
      <c r="C34" s="2" t="s">
        <v>106</v>
      </c>
      <c r="D34" s="2" t="s">
        <v>107</v>
      </c>
      <c r="E34" s="2" t="s">
        <v>78</v>
      </c>
      <c r="F34" s="2"/>
      <c r="G34" s="2"/>
      <c r="H34" s="2">
        <v>0.0</v>
      </c>
      <c r="I34" s="2">
        <v>0.0</v>
      </c>
      <c r="J34" s="2"/>
      <c r="K34" s="2">
        <v>0.0</v>
      </c>
      <c r="L34" s="2">
        <v>0.0</v>
      </c>
      <c r="M34" s="2"/>
      <c r="N34" s="2">
        <v>40.0</v>
      </c>
      <c r="O34" s="2">
        <v>5800.0</v>
      </c>
      <c r="P34" s="15">
        <v>232000.0</v>
      </c>
      <c r="Q34" s="32">
        <v>46226.71295159722</v>
      </c>
      <c r="R34" s="2" t="s">
        <v>68</v>
      </c>
      <c r="S34" s="2">
        <v>6.803058402E9</v>
      </c>
      <c r="X34" s="30">
        <v>98.682944</v>
      </c>
      <c r="Y34" s="30">
        <v>12.47432</v>
      </c>
      <c r="Z34" s="33"/>
      <c r="AA34" s="33"/>
    </row>
    <row r="35">
      <c r="A35" s="2" t="s">
        <v>126</v>
      </c>
      <c r="B35" s="31">
        <v>46226.0</v>
      </c>
      <c r="C35" s="2" t="s">
        <v>29</v>
      </c>
      <c r="D35" s="2" t="s">
        <v>29</v>
      </c>
      <c r="E35" s="2" t="s">
        <v>63</v>
      </c>
      <c r="F35" s="2">
        <v>943.0</v>
      </c>
      <c r="G35" s="2">
        <v>2769.0</v>
      </c>
      <c r="H35" s="2">
        <v>27.0</v>
      </c>
      <c r="I35" s="2">
        <v>173.0</v>
      </c>
      <c r="J35" s="2"/>
      <c r="K35" s="2">
        <v>87.0</v>
      </c>
      <c r="L35" s="2">
        <v>560.0</v>
      </c>
      <c r="M35" s="2">
        <v>68.0</v>
      </c>
      <c r="N35" s="2">
        <v>436.0</v>
      </c>
      <c r="O35" s="2">
        <v>6500.0</v>
      </c>
      <c r="P35" s="15">
        <v>2834000.0</v>
      </c>
      <c r="Q35" s="32">
        <v>46226.70304361111</v>
      </c>
      <c r="R35" s="2" t="s">
        <v>64</v>
      </c>
      <c r="S35" s="2">
        <v>7.063210949E9</v>
      </c>
      <c r="X35" s="30">
        <v>98.094419</v>
      </c>
      <c r="Y35" s="30">
        <v>13.94892</v>
      </c>
      <c r="Z35" s="33"/>
      <c r="AA35" s="33"/>
    </row>
    <row r="36">
      <c r="A36" s="2" t="s">
        <v>127</v>
      </c>
      <c r="B36" s="31">
        <v>46226.0</v>
      </c>
      <c r="C36" s="2" t="s">
        <v>26</v>
      </c>
      <c r="D36" s="2" t="s">
        <v>26</v>
      </c>
      <c r="E36" s="2" t="s">
        <v>63</v>
      </c>
      <c r="F36" s="2">
        <v>3494.0</v>
      </c>
      <c r="G36" s="2"/>
      <c r="H36" s="2">
        <v>9.0</v>
      </c>
      <c r="I36" s="2"/>
      <c r="J36" s="2"/>
      <c r="K36" s="2">
        <v>71.0</v>
      </c>
      <c r="L36" s="2"/>
      <c r="M36" s="2">
        <v>49.0</v>
      </c>
      <c r="N36" s="2">
        <v>650.0</v>
      </c>
      <c r="O36" s="2">
        <v>6500.0</v>
      </c>
      <c r="P36" s="15">
        <v>4225000.0</v>
      </c>
      <c r="Q36" s="32">
        <v>46226.60880596065</v>
      </c>
      <c r="R36" s="2" t="s">
        <v>64</v>
      </c>
      <c r="S36" s="2">
        <v>7.063210949E9</v>
      </c>
      <c r="X36" s="30">
        <v>98.160006</v>
      </c>
      <c r="Y36" s="30">
        <v>14.085617</v>
      </c>
      <c r="Z36" s="33"/>
      <c r="AA36" s="33"/>
    </row>
    <row r="37">
      <c r="A37" s="2" t="s">
        <v>128</v>
      </c>
      <c r="B37" s="31">
        <v>46225.0</v>
      </c>
      <c r="C37" s="2" t="s">
        <v>129</v>
      </c>
      <c r="D37" s="2" t="s">
        <v>129</v>
      </c>
      <c r="E37" s="2" t="s">
        <v>78</v>
      </c>
      <c r="F37" s="2">
        <v>14906.0</v>
      </c>
      <c r="G37" s="2">
        <v>40724.0</v>
      </c>
      <c r="H37" s="2">
        <v>3.0</v>
      </c>
      <c r="I37" s="2">
        <v>23.0</v>
      </c>
      <c r="J37" s="2">
        <v>3.0</v>
      </c>
      <c r="K37" s="2">
        <v>30.0</v>
      </c>
      <c r="L37" s="2">
        <v>234.0</v>
      </c>
      <c r="M37" s="2">
        <v>30.0</v>
      </c>
      <c r="N37" s="2">
        <v>438.0</v>
      </c>
      <c r="O37" s="2">
        <v>6500.0</v>
      </c>
      <c r="P37" s="15">
        <v>2847000.0</v>
      </c>
      <c r="Q37" s="32">
        <v>46226.59804898148</v>
      </c>
      <c r="R37" s="2" t="s">
        <v>68</v>
      </c>
      <c r="S37" s="2">
        <v>6.803058402E9</v>
      </c>
      <c r="X37" s="30">
        <v>98.2837</v>
      </c>
      <c r="Y37" s="30">
        <v>11.6588</v>
      </c>
      <c r="Z37" s="33"/>
      <c r="AA37" s="33"/>
    </row>
    <row r="38">
      <c r="A38" s="2" t="s">
        <v>130</v>
      </c>
      <c r="B38" s="31">
        <v>46224.0</v>
      </c>
      <c r="C38" s="2" t="s">
        <v>131</v>
      </c>
      <c r="D38" s="2" t="s">
        <v>131</v>
      </c>
      <c r="E38" s="2" t="s">
        <v>67</v>
      </c>
      <c r="F38" s="2">
        <v>6204.0</v>
      </c>
      <c r="G38" s="2">
        <v>22463.0</v>
      </c>
      <c r="H38" s="2">
        <v>15.0</v>
      </c>
      <c r="I38" s="2">
        <v>96.0</v>
      </c>
      <c r="J38" s="2">
        <v>9.0</v>
      </c>
      <c r="K38" s="2">
        <v>51.0</v>
      </c>
      <c r="L38" s="2">
        <v>328.0</v>
      </c>
      <c r="M38" s="2"/>
      <c r="N38" s="2">
        <v>434.0</v>
      </c>
      <c r="O38" s="2">
        <v>6200.0</v>
      </c>
      <c r="P38" s="15">
        <v>2690800.0</v>
      </c>
      <c r="Q38" s="32">
        <v>46225.64492122685</v>
      </c>
      <c r="R38" s="2" t="s">
        <v>68</v>
      </c>
      <c r="S38" s="2">
        <v>6.803058402E9</v>
      </c>
      <c r="X38" s="30">
        <v>98.5385</v>
      </c>
      <c r="Y38" s="30">
        <v>10.8839</v>
      </c>
      <c r="Z38" s="33"/>
      <c r="AA38" s="33"/>
    </row>
    <row r="39">
      <c r="A39" s="2" t="s">
        <v>132</v>
      </c>
      <c r="B39" s="31">
        <v>46225.0</v>
      </c>
      <c r="C39" s="2" t="s">
        <v>133</v>
      </c>
      <c r="D39" s="2" t="s">
        <v>133</v>
      </c>
      <c r="E39" s="2" t="s">
        <v>63</v>
      </c>
      <c r="F39" s="2">
        <v>2882.0</v>
      </c>
      <c r="G39" s="2">
        <v>4275.0</v>
      </c>
      <c r="H39" s="2">
        <v>13.0</v>
      </c>
      <c r="I39" s="2"/>
      <c r="J39" s="2">
        <v>0.0</v>
      </c>
      <c r="K39" s="2">
        <v>45.0</v>
      </c>
      <c r="L39" s="2"/>
      <c r="M39" s="2"/>
      <c r="N39" s="2">
        <v>214.0</v>
      </c>
      <c r="O39" s="2">
        <v>5500.0</v>
      </c>
      <c r="P39" s="15">
        <v>1177000.0</v>
      </c>
      <c r="Q39" s="32">
        <v>46225.63627065972</v>
      </c>
      <c r="R39" s="2" t="s">
        <v>64</v>
      </c>
      <c r="S39" s="2">
        <v>7.063210949E9</v>
      </c>
      <c r="X39" s="30">
        <v>98.23246</v>
      </c>
      <c r="Y39" s="30">
        <v>14.08237</v>
      </c>
      <c r="Z39" s="33"/>
      <c r="AA39" s="33"/>
    </row>
    <row r="40">
      <c r="A40" s="2" t="s">
        <v>134</v>
      </c>
      <c r="B40" s="31">
        <v>46225.0</v>
      </c>
      <c r="C40" s="2" t="s">
        <v>26</v>
      </c>
      <c r="D40" s="2" t="s">
        <v>26</v>
      </c>
      <c r="E40" s="2" t="s">
        <v>63</v>
      </c>
      <c r="F40" s="2">
        <v>3483.0</v>
      </c>
      <c r="G40" s="2"/>
      <c r="H40" s="2">
        <v>7.0</v>
      </c>
      <c r="I40" s="2">
        <v>71.0</v>
      </c>
      <c r="J40" s="2">
        <v>0.0</v>
      </c>
      <c r="K40" s="2">
        <v>12.0</v>
      </c>
      <c r="L40" s="2">
        <v>122.0</v>
      </c>
      <c r="M40" s="2">
        <v>3.0</v>
      </c>
      <c r="N40" s="2">
        <v>40.0</v>
      </c>
      <c r="O40" s="2">
        <v>8000.0</v>
      </c>
      <c r="P40" s="15">
        <v>320000.0</v>
      </c>
      <c r="Q40" s="32">
        <v>46225.55673409722</v>
      </c>
      <c r="R40" s="2" t="s">
        <v>64</v>
      </c>
      <c r="S40" s="2">
        <v>7.063210949E9</v>
      </c>
      <c r="X40" s="30">
        <v>98.160006</v>
      </c>
      <c r="Y40" s="30">
        <v>14.085617</v>
      </c>
      <c r="Z40" s="33"/>
      <c r="AA40" s="33"/>
    </row>
    <row r="41">
      <c r="A41" s="2" t="s">
        <v>135</v>
      </c>
      <c r="B41" s="31">
        <v>46224.0</v>
      </c>
      <c r="C41" s="2" t="s">
        <v>136</v>
      </c>
      <c r="D41" s="2" t="s">
        <v>136</v>
      </c>
      <c r="E41" s="2" t="s">
        <v>63</v>
      </c>
      <c r="F41" s="2">
        <v>3670.0</v>
      </c>
      <c r="G41" s="2">
        <v>8523.0</v>
      </c>
      <c r="H41" s="2">
        <v>11.0</v>
      </c>
      <c r="I41" s="2"/>
      <c r="J41" s="2">
        <v>1.0</v>
      </c>
      <c r="K41" s="2">
        <v>68.0</v>
      </c>
      <c r="L41" s="2"/>
      <c r="M41" s="2"/>
      <c r="N41" s="2">
        <v>440.0</v>
      </c>
      <c r="O41" s="2">
        <v>6500.0</v>
      </c>
      <c r="P41" s="15">
        <v>2860000.0</v>
      </c>
      <c r="Q41" s="32">
        <v>46224.80973125</v>
      </c>
      <c r="R41" s="2" t="s">
        <v>64</v>
      </c>
      <c r="S41" s="2">
        <v>7.063210949E9</v>
      </c>
      <c r="X41" s="30">
        <v>98.340985</v>
      </c>
      <c r="Y41" s="30">
        <v>13.636234</v>
      </c>
      <c r="Z41" s="33"/>
      <c r="AA41" s="33"/>
    </row>
    <row r="42">
      <c r="A42" s="2" t="s">
        <v>137</v>
      </c>
      <c r="B42" s="31">
        <v>46222.0</v>
      </c>
      <c r="C42" s="2" t="s">
        <v>35</v>
      </c>
      <c r="D42" s="2" t="s">
        <v>35</v>
      </c>
      <c r="E42" s="2" t="s">
        <v>63</v>
      </c>
      <c r="F42" s="2">
        <v>1022.0</v>
      </c>
      <c r="G42" s="2"/>
      <c r="H42" s="2">
        <v>7.0</v>
      </c>
      <c r="I42" s="2"/>
      <c r="J42" s="2"/>
      <c r="K42" s="2"/>
      <c r="L42" s="2"/>
      <c r="M42" s="2"/>
      <c r="N42" s="2">
        <v>227.0</v>
      </c>
      <c r="O42" s="2">
        <v>6500.0</v>
      </c>
      <c r="P42" s="15">
        <v>1475500.0</v>
      </c>
      <c r="Q42" s="32">
        <v>46223.9404433912</v>
      </c>
      <c r="R42" s="2" t="s">
        <v>64</v>
      </c>
      <c r="S42" s="2">
        <v>7.063210949E9</v>
      </c>
      <c r="X42" s="30">
        <v>98.02777</v>
      </c>
      <c r="Y42" s="30">
        <v>14.59855</v>
      </c>
      <c r="Z42" s="33"/>
      <c r="AA42" s="33"/>
    </row>
    <row r="43">
      <c r="A43" s="2" t="s">
        <v>138</v>
      </c>
      <c r="B43" s="31">
        <v>46222.0</v>
      </c>
      <c r="C43" s="2" t="s">
        <v>35</v>
      </c>
      <c r="D43" s="2" t="s">
        <v>35</v>
      </c>
      <c r="E43" s="2" t="s">
        <v>63</v>
      </c>
      <c r="F43" s="2">
        <v>1025.0</v>
      </c>
      <c r="G43" s="2"/>
      <c r="H43" s="2">
        <v>25.0</v>
      </c>
      <c r="I43" s="2"/>
      <c r="J43" s="2">
        <v>17.0</v>
      </c>
      <c r="K43" s="2">
        <v>45.0</v>
      </c>
      <c r="L43" s="2"/>
      <c r="M43" s="2">
        <v>32.0</v>
      </c>
      <c r="N43" s="2">
        <v>227.0</v>
      </c>
      <c r="O43" s="2">
        <v>6500.0</v>
      </c>
      <c r="P43" s="15">
        <v>1475500.0</v>
      </c>
      <c r="Q43" s="32">
        <v>46223.93980771991</v>
      </c>
      <c r="R43" s="2" t="s">
        <v>64</v>
      </c>
      <c r="S43" s="2">
        <v>7.063210949E9</v>
      </c>
      <c r="X43" s="30">
        <v>98.02777</v>
      </c>
      <c r="Y43" s="30">
        <v>14.59855</v>
      </c>
      <c r="Z43" s="33"/>
      <c r="AA43" s="33"/>
    </row>
    <row r="44">
      <c r="A44" s="2" t="s">
        <v>139</v>
      </c>
      <c r="B44" s="31">
        <v>46223.0</v>
      </c>
      <c r="C44" s="2" t="s">
        <v>117</v>
      </c>
      <c r="D44" s="2" t="s">
        <v>115</v>
      </c>
      <c r="E44" s="2" t="s">
        <v>67</v>
      </c>
      <c r="F44" s="2">
        <v>35202.0</v>
      </c>
      <c r="G44" s="2">
        <v>162044.0</v>
      </c>
      <c r="H44" s="2">
        <v>0.0</v>
      </c>
      <c r="I44" s="2">
        <v>0.0</v>
      </c>
      <c r="J44" s="2">
        <v>2.0</v>
      </c>
      <c r="K44" s="2">
        <v>0.0</v>
      </c>
      <c r="L44" s="2"/>
      <c r="M44" s="2">
        <v>15.0</v>
      </c>
      <c r="N44" s="2">
        <v>228.0</v>
      </c>
      <c r="O44" s="2">
        <v>6100.0</v>
      </c>
      <c r="P44" s="15">
        <v>1390800.0</v>
      </c>
      <c r="Q44" s="32">
        <v>46223.93048420139</v>
      </c>
      <c r="R44" s="2" t="s">
        <v>68</v>
      </c>
      <c r="S44" s="2">
        <v>6.803058402E9</v>
      </c>
      <c r="X44" s="30">
        <v>98.73268</v>
      </c>
      <c r="Y44" s="30">
        <v>11.124256</v>
      </c>
      <c r="Z44" s="33"/>
      <c r="AA44" s="33"/>
    </row>
    <row r="45">
      <c r="A45" s="2" t="s">
        <v>140</v>
      </c>
      <c r="B45" s="31">
        <v>46223.0</v>
      </c>
      <c r="C45" s="2" t="s">
        <v>114</v>
      </c>
      <c r="D45" s="2" t="s">
        <v>115</v>
      </c>
      <c r="E45" s="2" t="s">
        <v>67</v>
      </c>
      <c r="F45" s="2">
        <v>29580.0</v>
      </c>
      <c r="G45" s="2">
        <v>131445.0</v>
      </c>
      <c r="H45" s="2">
        <v>0.0</v>
      </c>
      <c r="I45" s="2">
        <v>0.0</v>
      </c>
      <c r="J45" s="2">
        <v>4.0</v>
      </c>
      <c r="K45" s="2">
        <v>0.0</v>
      </c>
      <c r="L45" s="2">
        <v>0.0</v>
      </c>
      <c r="M45" s="2">
        <v>17.0</v>
      </c>
      <c r="N45" s="2">
        <v>228.0</v>
      </c>
      <c r="O45" s="2">
        <v>6100.0</v>
      </c>
      <c r="P45" s="15">
        <v>1390800.0</v>
      </c>
      <c r="Q45" s="32">
        <v>46223.92979620371</v>
      </c>
      <c r="R45" s="2" t="s">
        <v>68</v>
      </c>
      <c r="S45" s="2">
        <v>6.803058402E9</v>
      </c>
      <c r="X45" s="30">
        <v>98.73268</v>
      </c>
      <c r="Y45" s="30">
        <v>11.124256</v>
      </c>
      <c r="Z45" s="33"/>
      <c r="AA45" s="33"/>
    </row>
    <row r="46">
      <c r="A46" s="2" t="s">
        <v>141</v>
      </c>
      <c r="B46" s="31">
        <v>46223.0</v>
      </c>
      <c r="C46" s="2" t="s">
        <v>142</v>
      </c>
      <c r="D46" s="2" t="s">
        <v>142</v>
      </c>
      <c r="E46" s="2" t="s">
        <v>63</v>
      </c>
      <c r="F46" s="2">
        <v>504.0</v>
      </c>
      <c r="G46" s="2">
        <v>2282.0</v>
      </c>
      <c r="H46" s="2">
        <v>13.0</v>
      </c>
      <c r="I46" s="2">
        <v>133.0</v>
      </c>
      <c r="J46" s="2">
        <v>0.0</v>
      </c>
      <c r="K46" s="2">
        <v>52.0</v>
      </c>
      <c r="L46" s="2">
        <v>532.0</v>
      </c>
      <c r="M46" s="2">
        <v>33.0</v>
      </c>
      <c r="N46" s="2">
        <v>442.0</v>
      </c>
      <c r="O46" s="2">
        <v>5600.0</v>
      </c>
      <c r="P46" s="15">
        <v>2475200.0</v>
      </c>
      <c r="Q46" s="32">
        <v>46223.710219375</v>
      </c>
      <c r="R46" s="2" t="s">
        <v>64</v>
      </c>
      <c r="S46" s="2">
        <v>7.063210949E9</v>
      </c>
      <c r="X46" s="30">
        <v>98.22569</v>
      </c>
      <c r="Y46" s="30">
        <v>14.284033</v>
      </c>
      <c r="Z46" s="33"/>
      <c r="AA46" s="33"/>
    </row>
    <row r="47">
      <c r="A47" s="2" t="s">
        <v>143</v>
      </c>
      <c r="B47" s="31">
        <v>46221.0</v>
      </c>
      <c r="C47" s="2" t="s">
        <v>144</v>
      </c>
      <c r="D47" s="2" t="s">
        <v>144</v>
      </c>
      <c r="E47" s="2" t="s">
        <v>78</v>
      </c>
      <c r="F47" s="2">
        <v>1309.0</v>
      </c>
      <c r="G47" s="2">
        <v>10046.0</v>
      </c>
      <c r="H47" s="2">
        <v>14.0</v>
      </c>
      <c r="I47" s="2">
        <v>143.0</v>
      </c>
      <c r="J47" s="2">
        <v>5.0</v>
      </c>
      <c r="K47" s="2">
        <v>69.0</v>
      </c>
      <c r="L47" s="2">
        <v>706.0</v>
      </c>
      <c r="M47" s="2">
        <v>54.0</v>
      </c>
      <c r="N47" s="2">
        <v>656.0</v>
      </c>
      <c r="O47" s="2">
        <v>6000.0</v>
      </c>
      <c r="P47" s="15">
        <v>3936000.0</v>
      </c>
      <c r="Q47" s="32">
        <v>46222.877982060185</v>
      </c>
      <c r="R47" s="2" t="s">
        <v>68</v>
      </c>
      <c r="S47" s="2">
        <v>6.803058402E9</v>
      </c>
      <c r="X47" s="30">
        <v>98.63336</v>
      </c>
      <c r="Y47" s="30">
        <v>13.23437</v>
      </c>
      <c r="Z47" s="33"/>
      <c r="AA47" s="33"/>
    </row>
    <row r="48">
      <c r="A48" s="2" t="s">
        <v>145</v>
      </c>
      <c r="B48" s="31">
        <v>46221.0</v>
      </c>
      <c r="C48" s="2" t="s">
        <v>146</v>
      </c>
      <c r="D48" s="2" t="s">
        <v>146</v>
      </c>
      <c r="E48" s="2" t="s">
        <v>78</v>
      </c>
      <c r="F48" s="2">
        <v>5876.0</v>
      </c>
      <c r="G48" s="2">
        <v>18624.0</v>
      </c>
      <c r="H48" s="2">
        <v>31.0</v>
      </c>
      <c r="I48" s="2">
        <v>199.0</v>
      </c>
      <c r="J48" s="2">
        <v>15.0</v>
      </c>
      <c r="K48" s="2">
        <v>86.0</v>
      </c>
      <c r="L48" s="2">
        <v>553.0</v>
      </c>
      <c r="M48" s="2">
        <v>67.0</v>
      </c>
      <c r="N48" s="2">
        <v>438.0</v>
      </c>
      <c r="O48" s="2">
        <v>6000.0</v>
      </c>
      <c r="P48" s="15">
        <v>2628000.0</v>
      </c>
      <c r="Q48" s="32">
        <v>46222.87691386574</v>
      </c>
      <c r="R48" s="2" t="s">
        <v>68</v>
      </c>
      <c r="S48" s="2">
        <v>6.803058402E9</v>
      </c>
      <c r="X48" s="30">
        <v>98.4924</v>
      </c>
      <c r="Y48" s="30">
        <v>13.35457</v>
      </c>
      <c r="Z48" s="33"/>
      <c r="AA48" s="33"/>
    </row>
    <row r="49">
      <c r="A49" s="2" t="s">
        <v>147</v>
      </c>
      <c r="B49" s="31">
        <v>46221.0</v>
      </c>
      <c r="C49" s="2" t="s">
        <v>131</v>
      </c>
      <c r="D49" s="2" t="s">
        <v>131</v>
      </c>
      <c r="E49" s="2" t="s">
        <v>67</v>
      </c>
      <c r="F49" s="2">
        <v>6155.0</v>
      </c>
      <c r="G49" s="2">
        <v>22322.0</v>
      </c>
      <c r="H49" s="2">
        <v>5.0</v>
      </c>
      <c r="I49" s="2">
        <v>32.0</v>
      </c>
      <c r="J49" s="2">
        <v>2.0</v>
      </c>
      <c r="K49" s="2">
        <v>11.0</v>
      </c>
      <c r="L49" s="2">
        <v>70.0</v>
      </c>
      <c r="M49" s="2">
        <v>19.0</v>
      </c>
      <c r="N49" s="2">
        <v>144.0</v>
      </c>
      <c r="O49" s="2">
        <v>6100.0</v>
      </c>
      <c r="P49" s="15">
        <v>878400.0</v>
      </c>
      <c r="Q49" s="32">
        <v>46222.87617934028</v>
      </c>
      <c r="R49" s="2" t="s">
        <v>68</v>
      </c>
      <c r="S49" s="2">
        <v>6.803058402E9</v>
      </c>
      <c r="X49" s="30">
        <v>98.5385</v>
      </c>
      <c r="Y49" s="30">
        <v>10.8839</v>
      </c>
      <c r="Z49" s="33"/>
      <c r="AA49" s="33"/>
    </row>
    <row r="50">
      <c r="A50" s="2" t="s">
        <v>148</v>
      </c>
      <c r="B50" s="31">
        <v>46222.0</v>
      </c>
      <c r="C50" s="2" t="s">
        <v>82</v>
      </c>
      <c r="D50" s="2" t="s">
        <v>82</v>
      </c>
      <c r="E50" s="2" t="s">
        <v>67</v>
      </c>
      <c r="F50" s="2">
        <v>11831.0</v>
      </c>
      <c r="G50" s="2">
        <v>19883.0</v>
      </c>
      <c r="H50" s="2">
        <v>28.0</v>
      </c>
      <c r="I50" s="2">
        <v>286.0</v>
      </c>
      <c r="J50" s="2">
        <v>2.0</v>
      </c>
      <c r="K50" s="2">
        <v>28.0</v>
      </c>
      <c r="L50" s="2">
        <v>286.0</v>
      </c>
      <c r="M50" s="2">
        <v>34.0</v>
      </c>
      <c r="N50" s="2">
        <v>429.0</v>
      </c>
      <c r="O50" s="2">
        <v>6100.0</v>
      </c>
      <c r="P50" s="15">
        <v>2616900.0</v>
      </c>
      <c r="Q50" s="32">
        <v>46222.87536024305</v>
      </c>
      <c r="R50" s="2" t="s">
        <v>68</v>
      </c>
      <c r="S50" s="2">
        <v>6.803058402E9</v>
      </c>
      <c r="X50" s="30">
        <v>98.669032</v>
      </c>
      <c r="Y50" s="30">
        <v>10.987216</v>
      </c>
      <c r="Z50" s="33"/>
      <c r="AA50" s="33"/>
    </row>
    <row r="51">
      <c r="A51" s="2" t="s">
        <v>149</v>
      </c>
      <c r="B51" s="31">
        <v>46221.0</v>
      </c>
      <c r="C51" s="2" t="s">
        <v>84</v>
      </c>
      <c r="D51" s="2" t="s">
        <v>84</v>
      </c>
      <c r="E51" s="2" t="s">
        <v>78</v>
      </c>
      <c r="F51" s="2">
        <v>17573.0</v>
      </c>
      <c r="G51" s="2">
        <v>144470.0</v>
      </c>
      <c r="H51" s="2">
        <v>14.0</v>
      </c>
      <c r="I51" s="2">
        <v>109.0</v>
      </c>
      <c r="J51" s="2">
        <v>1.0</v>
      </c>
      <c r="K51" s="2">
        <v>14.0</v>
      </c>
      <c r="L51" s="2">
        <v>109.0</v>
      </c>
      <c r="M51" s="2">
        <v>29.0</v>
      </c>
      <c r="N51" s="2">
        <v>453.0</v>
      </c>
      <c r="O51" s="2">
        <v>6100.0</v>
      </c>
      <c r="P51" s="15">
        <v>2763300.0</v>
      </c>
      <c r="Q51" s="32">
        <v>46222.87464927083</v>
      </c>
      <c r="R51" s="2" t="s">
        <v>68</v>
      </c>
      <c r="S51" s="2">
        <v>6.803058402E9</v>
      </c>
      <c r="X51" s="30">
        <v>98.51769</v>
      </c>
      <c r="Y51" s="30">
        <v>11.793</v>
      </c>
      <c r="Z51" s="33"/>
      <c r="AA51" s="33"/>
    </row>
    <row r="52">
      <c r="A52" s="2" t="s">
        <v>150</v>
      </c>
      <c r="B52" s="31">
        <v>46222.0</v>
      </c>
      <c r="C52" s="2" t="s">
        <v>129</v>
      </c>
      <c r="D52" s="2" t="s">
        <v>129</v>
      </c>
      <c r="E52" s="2" t="s">
        <v>78</v>
      </c>
      <c r="F52" s="2">
        <v>14841.0</v>
      </c>
      <c r="G52" s="2">
        <v>40675.0</v>
      </c>
      <c r="H52" s="2">
        <v>3.0</v>
      </c>
      <c r="I52" s="2">
        <v>23.0</v>
      </c>
      <c r="J52" s="2">
        <v>3.0</v>
      </c>
      <c r="K52" s="2">
        <v>3.0</v>
      </c>
      <c r="L52" s="2">
        <v>23.0</v>
      </c>
      <c r="M52" s="2"/>
      <c r="N52" s="2">
        <v>235.0</v>
      </c>
      <c r="O52" s="2">
        <v>6100.0</v>
      </c>
      <c r="P52" s="15">
        <v>1433500.0</v>
      </c>
      <c r="Q52" s="32">
        <v>46222.873842326386</v>
      </c>
      <c r="R52" s="2" t="s">
        <v>68</v>
      </c>
      <c r="S52" s="2">
        <v>6.803058402E9</v>
      </c>
      <c r="X52" s="30">
        <v>98.2837</v>
      </c>
      <c r="Y52" s="30">
        <v>11.6588</v>
      </c>
      <c r="Z52" s="33"/>
      <c r="AA52" s="33"/>
    </row>
    <row r="53">
      <c r="A53" s="2" t="s">
        <v>151</v>
      </c>
      <c r="B53" s="31">
        <v>46220.0</v>
      </c>
      <c r="C53" s="2" t="s">
        <v>152</v>
      </c>
      <c r="D53" s="2" t="s">
        <v>152</v>
      </c>
      <c r="E53" s="2" t="s">
        <v>78</v>
      </c>
      <c r="F53" s="2">
        <v>5149.0</v>
      </c>
      <c r="G53" s="2">
        <v>15791.0</v>
      </c>
      <c r="H53" s="2">
        <v>63.0</v>
      </c>
      <c r="I53" s="2">
        <v>667.0</v>
      </c>
      <c r="J53" s="2">
        <v>3.0</v>
      </c>
      <c r="K53" s="2">
        <v>63.0</v>
      </c>
      <c r="L53" s="2">
        <v>667.0</v>
      </c>
      <c r="M53" s="2"/>
      <c r="N53" s="2">
        <v>871.0</v>
      </c>
      <c r="O53" s="2">
        <v>5900.0</v>
      </c>
      <c r="P53" s="15">
        <v>5138900.0</v>
      </c>
      <c r="Q53" s="32">
        <v>46220.96510767361</v>
      </c>
      <c r="R53" s="2" t="s">
        <v>68</v>
      </c>
      <c r="S53" s="2">
        <v>6.803058402E9</v>
      </c>
      <c r="X53" s="30">
        <v>98.7865</v>
      </c>
      <c r="Y53" s="30">
        <v>12.4352</v>
      </c>
      <c r="Z53" s="33"/>
      <c r="AA53" s="33"/>
    </row>
    <row r="54">
      <c r="A54" s="2" t="s">
        <v>153</v>
      </c>
      <c r="B54" s="31">
        <v>46219.0</v>
      </c>
      <c r="C54" s="2" t="s">
        <v>121</v>
      </c>
      <c r="D54" s="2" t="s">
        <v>121</v>
      </c>
      <c r="E54" s="2" t="s">
        <v>78</v>
      </c>
      <c r="F54" s="2">
        <v>73.0</v>
      </c>
      <c r="G54" s="2">
        <v>279.0</v>
      </c>
      <c r="H54" s="2">
        <v>7.0</v>
      </c>
      <c r="I54" s="2">
        <v>44.0</v>
      </c>
      <c r="J54" s="2"/>
      <c r="K54" s="2">
        <v>59.0</v>
      </c>
      <c r="L54" s="2">
        <v>377.0</v>
      </c>
      <c r="M54" s="2">
        <v>53.0</v>
      </c>
      <c r="N54" s="2">
        <v>434.0</v>
      </c>
      <c r="O54" s="2">
        <v>6100.0</v>
      </c>
      <c r="P54" s="15">
        <v>2647400.0</v>
      </c>
      <c r="Q54" s="32">
        <v>46220.96347428241</v>
      </c>
      <c r="R54" s="2" t="s">
        <v>68</v>
      </c>
      <c r="S54" s="2">
        <v>6.803058402E9</v>
      </c>
      <c r="X54" s="30">
        <v>98.708</v>
      </c>
      <c r="Y54" s="30">
        <v>11.7025</v>
      </c>
      <c r="Z54" s="33"/>
      <c r="AA54" s="33"/>
    </row>
    <row r="55">
      <c r="A55" s="2" t="s">
        <v>154</v>
      </c>
      <c r="B55" s="31">
        <v>46215.0</v>
      </c>
      <c r="C55" s="2" t="s">
        <v>119</v>
      </c>
      <c r="D55" s="2" t="s">
        <v>119</v>
      </c>
      <c r="E55" s="2" t="s">
        <v>67</v>
      </c>
      <c r="F55" s="2">
        <v>4435.0</v>
      </c>
      <c r="G55" s="2">
        <v>12831.0</v>
      </c>
      <c r="H55" s="2">
        <v>100.0</v>
      </c>
      <c r="I55" s="2">
        <v>640.0</v>
      </c>
      <c r="J55" s="2">
        <v>2.0</v>
      </c>
      <c r="K55" s="2">
        <v>100.0</v>
      </c>
      <c r="L55" s="2">
        <v>640.0</v>
      </c>
      <c r="M55" s="2">
        <v>29.0</v>
      </c>
      <c r="N55" s="2">
        <v>228.0</v>
      </c>
      <c r="O55" s="2">
        <v>5800.0</v>
      </c>
      <c r="P55" s="15">
        <v>1322400.0</v>
      </c>
      <c r="Q55" s="32">
        <v>46220.962553460646</v>
      </c>
      <c r="R55" s="2" t="s">
        <v>68</v>
      </c>
      <c r="S55" s="2">
        <v>6.803058402E9</v>
      </c>
      <c r="X55" s="30">
        <v>99.05791</v>
      </c>
      <c r="Y55" s="30">
        <v>11.64351</v>
      </c>
      <c r="Z55" s="33"/>
      <c r="AA55" s="33"/>
    </row>
    <row r="56">
      <c r="A56" s="2" t="s">
        <v>155</v>
      </c>
      <c r="B56" s="31">
        <v>46216.0</v>
      </c>
      <c r="C56" s="2" t="s">
        <v>156</v>
      </c>
      <c r="D56" s="2" t="s">
        <v>156</v>
      </c>
      <c r="E56" s="2" t="s">
        <v>67</v>
      </c>
      <c r="F56" s="2">
        <v>2191.0</v>
      </c>
      <c r="G56" s="2">
        <v>8274.0</v>
      </c>
      <c r="H56" s="2">
        <v>19.0</v>
      </c>
      <c r="I56" s="2">
        <v>121.0</v>
      </c>
      <c r="J56" s="2">
        <v>3.0</v>
      </c>
      <c r="K56" s="2">
        <v>47.0</v>
      </c>
      <c r="L56" s="2">
        <v>300.0</v>
      </c>
      <c r="M56" s="2">
        <v>30.0</v>
      </c>
      <c r="N56" s="2">
        <v>227.0</v>
      </c>
      <c r="O56" s="2">
        <v>5800.0</v>
      </c>
      <c r="P56" s="15">
        <v>1316600.0</v>
      </c>
      <c r="Q56" s="32">
        <v>46220.96164627315</v>
      </c>
      <c r="R56" s="2" t="s">
        <v>68</v>
      </c>
      <c r="S56" s="2">
        <v>6.803058402E9</v>
      </c>
      <c r="X56" s="30">
        <v>99.05204</v>
      </c>
      <c r="Y56" s="30">
        <v>11.58103</v>
      </c>
      <c r="Z56" s="33"/>
      <c r="AA56" s="33"/>
    </row>
    <row r="57">
      <c r="A57" s="2" t="s">
        <v>157</v>
      </c>
      <c r="B57" s="31">
        <v>46220.0</v>
      </c>
      <c r="C57" s="2" t="s">
        <v>158</v>
      </c>
      <c r="D57" s="2" t="s">
        <v>158</v>
      </c>
      <c r="E57" s="2" t="s">
        <v>78</v>
      </c>
      <c r="F57" s="2">
        <v>15731.0</v>
      </c>
      <c r="G57" s="2">
        <v>81276.0</v>
      </c>
      <c r="H57" s="2">
        <v>16.0</v>
      </c>
      <c r="I57" s="2">
        <v>103.0</v>
      </c>
      <c r="J57" s="2">
        <v>1.0</v>
      </c>
      <c r="K57" s="2">
        <v>46.0</v>
      </c>
      <c r="L57" s="2">
        <v>296.0</v>
      </c>
      <c r="M57" s="2">
        <v>45.0</v>
      </c>
      <c r="N57" s="2">
        <v>666.0</v>
      </c>
      <c r="O57" s="2">
        <v>6100.0</v>
      </c>
      <c r="P57" s="15">
        <v>4062600.0</v>
      </c>
      <c r="Q57" s="32">
        <v>46220.960245625</v>
      </c>
      <c r="R57" s="2" t="s">
        <v>68</v>
      </c>
      <c r="S57" s="2">
        <v>6.803058402E9</v>
      </c>
      <c r="X57" s="30">
        <v>98.432657</v>
      </c>
      <c r="Y57" s="30">
        <v>12.087802</v>
      </c>
      <c r="Z57" s="33"/>
      <c r="AA57" s="33"/>
    </row>
    <row r="58">
      <c r="A58" s="2" t="s">
        <v>159</v>
      </c>
      <c r="B58" s="31">
        <v>46220.0</v>
      </c>
      <c r="C58" s="2" t="s">
        <v>160</v>
      </c>
      <c r="D58" s="2" t="s">
        <v>160</v>
      </c>
      <c r="E58" s="2" t="s">
        <v>63</v>
      </c>
      <c r="F58" s="2">
        <v>3382.0</v>
      </c>
      <c r="G58" s="2">
        <v>7622.0</v>
      </c>
      <c r="H58" s="2">
        <v>20.0</v>
      </c>
      <c r="I58" s="2">
        <v>212.0</v>
      </c>
      <c r="J58" s="2"/>
      <c r="K58" s="2">
        <v>92.0</v>
      </c>
      <c r="L58" s="2">
        <v>975.0</v>
      </c>
      <c r="M58" s="2"/>
      <c r="N58" s="2">
        <v>848.0</v>
      </c>
      <c r="O58" s="2">
        <v>5750.0</v>
      </c>
      <c r="P58" s="15">
        <v>4876000.0</v>
      </c>
      <c r="Q58" s="32">
        <v>46220.833239189815</v>
      </c>
      <c r="R58" s="2" t="s">
        <v>64</v>
      </c>
      <c r="S58" s="2">
        <v>7.063210949E9</v>
      </c>
      <c r="X58" s="30">
        <v>98.187247</v>
      </c>
      <c r="Y58" s="30">
        <v>14.358035</v>
      </c>
      <c r="Z58" s="33"/>
      <c r="AA58" s="33"/>
    </row>
    <row r="59">
      <c r="A59" s="2" t="s">
        <v>161</v>
      </c>
      <c r="B59" s="31">
        <v>46219.0</v>
      </c>
      <c r="C59" s="2" t="s">
        <v>162</v>
      </c>
      <c r="D59" s="2" t="s">
        <v>162</v>
      </c>
      <c r="E59" s="2" t="s">
        <v>63</v>
      </c>
      <c r="F59" s="2">
        <v>2021.0</v>
      </c>
      <c r="G59" s="2">
        <v>53925.0</v>
      </c>
      <c r="H59" s="2">
        <v>11.0</v>
      </c>
      <c r="I59" s="2">
        <v>70.0</v>
      </c>
      <c r="J59" s="2"/>
      <c r="K59" s="2">
        <v>70.0</v>
      </c>
      <c r="L59" s="2">
        <v>450.0</v>
      </c>
      <c r="M59" s="2">
        <v>57.0</v>
      </c>
      <c r="N59" s="2">
        <v>450.0</v>
      </c>
      <c r="O59" s="2">
        <v>5500.0</v>
      </c>
      <c r="P59" s="15">
        <v>2475000.0</v>
      </c>
      <c r="Q59" s="32">
        <v>46219.775205150465</v>
      </c>
      <c r="R59" s="2" t="s">
        <v>64</v>
      </c>
      <c r="S59" s="2">
        <v>7.063210949E9</v>
      </c>
      <c r="X59" s="30">
        <v>98.1129</v>
      </c>
      <c r="Y59" s="30">
        <v>13.97254</v>
      </c>
      <c r="Z59" s="33"/>
      <c r="AA59" s="33"/>
    </row>
    <row r="60">
      <c r="A60" s="2" t="s">
        <v>163</v>
      </c>
      <c r="B60" s="31">
        <v>46219.0</v>
      </c>
      <c r="C60" s="2" t="s">
        <v>164</v>
      </c>
      <c r="D60" s="2" t="s">
        <v>164</v>
      </c>
      <c r="E60" s="2" t="s">
        <v>63</v>
      </c>
      <c r="F60" s="2">
        <v>3059.0</v>
      </c>
      <c r="G60" s="2">
        <v>25152.0</v>
      </c>
      <c r="H60" s="2"/>
      <c r="I60" s="2"/>
      <c r="J60" s="2"/>
      <c r="K60" s="2"/>
      <c r="L60" s="2"/>
      <c r="M60" s="2">
        <v>75.0</v>
      </c>
      <c r="N60" s="2">
        <v>621.0</v>
      </c>
      <c r="O60" s="2">
        <v>5500.0</v>
      </c>
      <c r="P60" s="15">
        <v>3415500.0</v>
      </c>
      <c r="Q60" s="32">
        <v>46219.774480381944</v>
      </c>
      <c r="R60" s="2" t="s">
        <v>64</v>
      </c>
      <c r="S60" s="2">
        <v>7.063210949E9</v>
      </c>
      <c r="X60" s="30">
        <v>98.139159</v>
      </c>
      <c r="Y60" s="30">
        <v>13.957333</v>
      </c>
      <c r="Z60" s="33"/>
      <c r="AA60" s="33"/>
    </row>
    <row r="61">
      <c r="A61" s="2" t="s">
        <v>165</v>
      </c>
      <c r="B61" s="31">
        <v>46213.0</v>
      </c>
      <c r="C61" s="2" t="s">
        <v>33</v>
      </c>
      <c r="D61" s="2" t="s">
        <v>33</v>
      </c>
      <c r="E61" s="2" t="s">
        <v>63</v>
      </c>
      <c r="F61" s="2">
        <v>34649.0</v>
      </c>
      <c r="G61" s="2">
        <v>97626.0</v>
      </c>
      <c r="H61" s="2">
        <v>13.0</v>
      </c>
      <c r="I61" s="2"/>
      <c r="J61" s="2">
        <v>0.0</v>
      </c>
      <c r="K61" s="2"/>
      <c r="L61" s="2"/>
      <c r="M61" s="2">
        <v>7.0</v>
      </c>
      <c r="N61" s="2">
        <v>58.0</v>
      </c>
      <c r="O61" s="2">
        <v>6300.0</v>
      </c>
      <c r="P61" s="15">
        <v>365400.0</v>
      </c>
      <c r="Q61" s="32">
        <v>46216.95211971065</v>
      </c>
      <c r="R61" s="2" t="s">
        <v>64</v>
      </c>
      <c r="S61" s="2">
        <v>7.063210949E9</v>
      </c>
      <c r="X61" s="30">
        <v>98.168925</v>
      </c>
      <c r="Y61" s="30">
        <v>14.616438</v>
      </c>
      <c r="Z61" s="33"/>
      <c r="AA61" s="33"/>
    </row>
    <row r="62">
      <c r="A62" s="2" t="s">
        <v>166</v>
      </c>
      <c r="B62" s="31">
        <v>46214.0</v>
      </c>
      <c r="C62" s="2" t="s">
        <v>160</v>
      </c>
      <c r="D62" s="2" t="s">
        <v>160</v>
      </c>
      <c r="E62" s="2" t="s">
        <v>63</v>
      </c>
      <c r="F62" s="2">
        <v>3330.0</v>
      </c>
      <c r="G62" s="2">
        <v>7493.0</v>
      </c>
      <c r="H62" s="2">
        <v>6.0</v>
      </c>
      <c r="I62" s="2"/>
      <c r="J62" s="2"/>
      <c r="K62" s="2">
        <v>8.0</v>
      </c>
      <c r="L62" s="2"/>
      <c r="M62" s="2"/>
      <c r="N62" s="2">
        <v>25.0</v>
      </c>
      <c r="O62" s="2">
        <v>6300.0</v>
      </c>
      <c r="P62" s="15">
        <v>157500.0</v>
      </c>
      <c r="Q62" s="32">
        <v>46216.952070162035</v>
      </c>
      <c r="R62" s="2" t="s">
        <v>64</v>
      </c>
      <c r="S62" s="2">
        <v>7.063210949E9</v>
      </c>
      <c r="X62" s="30">
        <v>98.187247</v>
      </c>
      <c r="Y62" s="30">
        <v>14.358035</v>
      </c>
      <c r="Z62" s="33"/>
      <c r="AA62" s="33"/>
    </row>
    <row r="63">
      <c r="A63" s="2" t="s">
        <v>167</v>
      </c>
      <c r="B63" s="31">
        <v>46216.0</v>
      </c>
      <c r="C63" s="2" t="s">
        <v>168</v>
      </c>
      <c r="D63" s="2" t="s">
        <v>168</v>
      </c>
      <c r="E63" s="2" t="s">
        <v>63</v>
      </c>
      <c r="F63" s="2">
        <v>26570.0</v>
      </c>
      <c r="G63" s="2">
        <v>79786.0</v>
      </c>
      <c r="H63" s="2">
        <v>14.0</v>
      </c>
      <c r="I63" s="2"/>
      <c r="J63" s="2">
        <v>0.0</v>
      </c>
      <c r="K63" s="2">
        <v>45.0</v>
      </c>
      <c r="L63" s="2"/>
      <c r="M63" s="2"/>
      <c r="N63" s="2">
        <v>221.0</v>
      </c>
      <c r="O63" s="2">
        <v>4900.0</v>
      </c>
      <c r="P63" s="15">
        <v>1082900.0</v>
      </c>
      <c r="Q63" s="32">
        <v>46216.951734699076</v>
      </c>
      <c r="R63" s="2" t="s">
        <v>64</v>
      </c>
      <c r="S63" s="2">
        <v>7.063210949E9</v>
      </c>
      <c r="X63" s="30">
        <v>98.23359</v>
      </c>
      <c r="Y63" s="30">
        <v>14.108816</v>
      </c>
      <c r="Z63" s="33"/>
      <c r="AA63" s="33"/>
    </row>
    <row r="64">
      <c r="A64" s="2" t="s">
        <v>169</v>
      </c>
      <c r="B64" s="31">
        <v>46212.0</v>
      </c>
      <c r="C64" s="2" t="s">
        <v>80</v>
      </c>
      <c r="D64" s="2" t="s">
        <v>80</v>
      </c>
      <c r="E64" s="2" t="s">
        <v>78</v>
      </c>
      <c r="F64" s="2">
        <v>0.0</v>
      </c>
      <c r="G64" s="2">
        <v>1.0</v>
      </c>
      <c r="H64" s="2">
        <v>0.0</v>
      </c>
      <c r="I64" s="2">
        <v>0.0</v>
      </c>
      <c r="J64" s="2">
        <v>0.0</v>
      </c>
      <c r="K64" s="2">
        <v>0.0</v>
      </c>
      <c r="L64" s="2">
        <v>0.0</v>
      </c>
      <c r="M64" s="2"/>
      <c r="N64" s="2">
        <v>446.0</v>
      </c>
      <c r="O64" s="2">
        <v>5800.0</v>
      </c>
      <c r="P64" s="15">
        <v>2586800.0</v>
      </c>
      <c r="Q64" s="32">
        <v>46216.95168837963</v>
      </c>
      <c r="R64" s="2" t="s">
        <v>170</v>
      </c>
      <c r="S64" s="2">
        <v>6.803058402E9</v>
      </c>
      <c r="X64" s="30">
        <v>98.2984</v>
      </c>
      <c r="Y64" s="30">
        <v>11.8526</v>
      </c>
      <c r="Z64" s="33"/>
      <c r="AA64" s="33"/>
    </row>
    <row r="65">
      <c r="A65" s="2" t="s">
        <v>171</v>
      </c>
      <c r="B65" s="31">
        <v>46210.0</v>
      </c>
      <c r="C65" s="2" t="s">
        <v>172</v>
      </c>
      <c r="D65" s="2" t="s">
        <v>172</v>
      </c>
      <c r="E65" s="2" t="s">
        <v>78</v>
      </c>
      <c r="F65" s="2">
        <v>1848.0</v>
      </c>
      <c r="G65" s="2">
        <v>10886.0</v>
      </c>
      <c r="H65" s="2">
        <v>14.0</v>
      </c>
      <c r="I65" s="2">
        <v>143.0</v>
      </c>
      <c r="J65" s="2">
        <v>1.0</v>
      </c>
      <c r="K65" s="2">
        <v>59.0</v>
      </c>
      <c r="L65" s="2">
        <v>604.0</v>
      </c>
      <c r="M65" s="2">
        <v>67.0</v>
      </c>
      <c r="N65" s="2">
        <v>885.0</v>
      </c>
      <c r="O65" s="2">
        <v>5800.0</v>
      </c>
      <c r="P65" s="15">
        <v>5133000.0</v>
      </c>
      <c r="Q65" s="32">
        <v>46216.95162765046</v>
      </c>
      <c r="R65" s="2" t="s">
        <v>170</v>
      </c>
      <c r="S65" s="2">
        <v>6.803058402E9</v>
      </c>
      <c r="X65" s="30">
        <v>98.68253</v>
      </c>
      <c r="Y65" s="30">
        <v>12.299234</v>
      </c>
      <c r="Z65" s="33"/>
      <c r="AA65" s="33"/>
    </row>
    <row r="66">
      <c r="A66" s="2" t="s">
        <v>173</v>
      </c>
      <c r="B66" s="31">
        <v>46204.0</v>
      </c>
      <c r="C66" s="2" t="s">
        <v>93</v>
      </c>
      <c r="D66" s="2" t="s">
        <v>93</v>
      </c>
      <c r="E66" s="2" t="s">
        <v>67</v>
      </c>
      <c r="F66" s="2">
        <v>2312.0</v>
      </c>
      <c r="G66" s="2">
        <v>10341.0</v>
      </c>
      <c r="H66" s="2">
        <v>23.0</v>
      </c>
      <c r="I66" s="2">
        <v>148.0</v>
      </c>
      <c r="J66" s="2"/>
      <c r="K66" s="2">
        <v>57.0</v>
      </c>
      <c r="L66" s="2">
        <v>367.0</v>
      </c>
      <c r="M66" s="2">
        <v>49.0</v>
      </c>
      <c r="N66" s="2">
        <v>658.0</v>
      </c>
      <c r="O66" s="2">
        <v>5565.0</v>
      </c>
      <c r="P66" s="15">
        <v>3661770.0</v>
      </c>
      <c r="Q66" s="32">
        <v>46216.95158100694</v>
      </c>
      <c r="R66" s="2" t="s">
        <v>170</v>
      </c>
      <c r="S66" s="2">
        <v>6.803058402E9</v>
      </c>
      <c r="X66" s="30">
        <v>98.761003</v>
      </c>
      <c r="Y66" s="30">
        <v>11.229401</v>
      </c>
      <c r="Z66" s="33"/>
      <c r="AA66" s="33"/>
    </row>
    <row r="67">
      <c r="A67" s="2" t="s">
        <v>174</v>
      </c>
      <c r="B67" s="31">
        <v>46213.0</v>
      </c>
      <c r="C67" s="2" t="s">
        <v>129</v>
      </c>
      <c r="D67" s="2" t="s">
        <v>129</v>
      </c>
      <c r="E67" s="2" t="s">
        <v>78</v>
      </c>
      <c r="F67" s="2">
        <v>14621.0</v>
      </c>
      <c r="G67" s="2">
        <v>40503.0</v>
      </c>
      <c r="H67" s="2">
        <v>3.0</v>
      </c>
      <c r="I67" s="2">
        <v>23.0</v>
      </c>
      <c r="J67" s="2">
        <v>2.0</v>
      </c>
      <c r="K67" s="2">
        <v>42.0</v>
      </c>
      <c r="L67" s="2">
        <v>327.0</v>
      </c>
      <c r="M67" s="2">
        <v>29.0</v>
      </c>
      <c r="N67" s="2">
        <v>437.0</v>
      </c>
      <c r="O67" s="2">
        <v>5800.0</v>
      </c>
      <c r="P67" s="15">
        <v>2534600.0</v>
      </c>
      <c r="Q67" s="32">
        <v>46216.95152996528</v>
      </c>
      <c r="R67" s="2" t="s">
        <v>170</v>
      </c>
      <c r="S67" s="2">
        <v>6.803058402E9</v>
      </c>
      <c r="X67" s="30">
        <v>98.2837</v>
      </c>
      <c r="Y67" s="30">
        <v>11.6588</v>
      </c>
      <c r="Z67" s="33"/>
      <c r="AA67" s="33"/>
    </row>
    <row r="68">
      <c r="A68" s="2" t="s">
        <v>175</v>
      </c>
      <c r="B68" s="31">
        <v>46213.0</v>
      </c>
      <c r="C68" s="2" t="s">
        <v>95</v>
      </c>
      <c r="D68" s="2" t="s">
        <v>95</v>
      </c>
      <c r="E68" s="2" t="s">
        <v>78</v>
      </c>
      <c r="F68" s="2">
        <v>5841.0</v>
      </c>
      <c r="G68" s="2">
        <v>62056.0</v>
      </c>
      <c r="H68" s="2">
        <v>21.0</v>
      </c>
      <c r="I68" s="2">
        <v>135.0</v>
      </c>
      <c r="J68" s="2">
        <v>10.0</v>
      </c>
      <c r="K68" s="2">
        <v>60.0</v>
      </c>
      <c r="L68" s="2">
        <v>386.0</v>
      </c>
      <c r="M68" s="2">
        <v>60.0</v>
      </c>
      <c r="N68" s="2">
        <v>421.0</v>
      </c>
      <c r="O68" s="2">
        <v>5800.0</v>
      </c>
      <c r="P68" s="15">
        <v>2441800.0</v>
      </c>
      <c r="Q68" s="32">
        <v>46216.95148024306</v>
      </c>
      <c r="R68" s="2" t="s">
        <v>170</v>
      </c>
      <c r="S68" s="2">
        <v>6.803058402E9</v>
      </c>
      <c r="X68" s="30">
        <v>98.4931</v>
      </c>
      <c r="Y68" s="30">
        <v>12.3567</v>
      </c>
      <c r="Z68" s="33"/>
      <c r="AA68" s="33"/>
    </row>
    <row r="69">
      <c r="A69" s="2" t="s">
        <v>176</v>
      </c>
      <c r="B69" s="31">
        <v>46214.0</v>
      </c>
      <c r="C69" s="2" t="s">
        <v>177</v>
      </c>
      <c r="D69" s="2" t="s">
        <v>177</v>
      </c>
      <c r="E69" s="2" t="s">
        <v>78</v>
      </c>
      <c r="F69" s="2">
        <v>1602.0</v>
      </c>
      <c r="G69" s="2">
        <v>52218.0</v>
      </c>
      <c r="H69" s="2">
        <v>19.0</v>
      </c>
      <c r="I69" s="2">
        <v>122.0</v>
      </c>
      <c r="J69" s="2"/>
      <c r="K69" s="2">
        <v>70.0</v>
      </c>
      <c r="L69" s="2">
        <v>450.0</v>
      </c>
      <c r="M69" s="2">
        <v>53.0</v>
      </c>
      <c r="N69" s="2">
        <v>442.0</v>
      </c>
      <c r="O69" s="2">
        <v>5500.0</v>
      </c>
      <c r="P69" s="15">
        <v>2431000.0</v>
      </c>
      <c r="Q69" s="32">
        <v>46216.95142399306</v>
      </c>
      <c r="R69" s="2" t="s">
        <v>170</v>
      </c>
      <c r="S69" s="2">
        <v>6.803058402E9</v>
      </c>
      <c r="X69" s="30">
        <v>98.45071</v>
      </c>
      <c r="Y69" s="30">
        <v>13.51381</v>
      </c>
      <c r="Z69" s="33"/>
      <c r="AA69" s="33"/>
    </row>
    <row r="70">
      <c r="A70" s="2" t="s">
        <v>178</v>
      </c>
      <c r="B70" s="31">
        <v>46214.0</v>
      </c>
      <c r="C70" s="2" t="s">
        <v>179</v>
      </c>
      <c r="D70" s="2" t="s">
        <v>179</v>
      </c>
      <c r="E70" s="2" t="s">
        <v>78</v>
      </c>
      <c r="F70" s="2">
        <v>13954.0</v>
      </c>
      <c r="G70" s="2">
        <v>60711.0</v>
      </c>
      <c r="H70" s="2">
        <v>0.0</v>
      </c>
      <c r="I70" s="2">
        <v>0.0</v>
      </c>
      <c r="J70" s="2"/>
      <c r="K70" s="2">
        <v>55.0</v>
      </c>
      <c r="L70" s="2">
        <v>563.0</v>
      </c>
      <c r="M70" s="2"/>
      <c r="N70" s="2">
        <v>657.0</v>
      </c>
      <c r="O70" s="2">
        <v>7500.0</v>
      </c>
      <c r="P70" s="15">
        <v>4927500.0</v>
      </c>
      <c r="Q70" s="32">
        <v>46216.951345486115</v>
      </c>
      <c r="R70" s="2" t="s">
        <v>170</v>
      </c>
      <c r="S70" s="2">
        <v>6.803058402E9</v>
      </c>
      <c r="X70" s="30">
        <v>98.67941</v>
      </c>
      <c r="Y70" s="30">
        <v>13.017754</v>
      </c>
      <c r="Z70" s="33"/>
      <c r="AA70" s="33"/>
    </row>
    <row r="71">
      <c r="A71" s="2" t="s">
        <v>180</v>
      </c>
      <c r="B71" s="31">
        <v>46215.0</v>
      </c>
      <c r="C71" s="2" t="s">
        <v>181</v>
      </c>
      <c r="D71" s="2" t="s">
        <v>181</v>
      </c>
      <c r="E71" s="2" t="s">
        <v>63</v>
      </c>
      <c r="F71" s="2">
        <v>27755.0</v>
      </c>
      <c r="G71" s="2">
        <v>88696.0</v>
      </c>
      <c r="H71" s="2">
        <v>3.0</v>
      </c>
      <c r="I71" s="2">
        <v>19.0</v>
      </c>
      <c r="J71" s="2">
        <v>0.0</v>
      </c>
      <c r="K71" s="2">
        <v>34.0</v>
      </c>
      <c r="L71" s="2">
        <v>218.0</v>
      </c>
      <c r="M71" s="2"/>
      <c r="N71" s="2">
        <v>216.0</v>
      </c>
      <c r="O71" s="2">
        <v>4900.0</v>
      </c>
      <c r="P71" s="15">
        <v>1058400.0</v>
      </c>
      <c r="Q71" s="32">
        <v>46216.951296203704</v>
      </c>
      <c r="R71" s="2" t="s">
        <v>64</v>
      </c>
      <c r="S71" s="2">
        <v>7.063210949E9</v>
      </c>
      <c r="X71" s="30">
        <v>98.22375</v>
      </c>
      <c r="Y71" s="30">
        <v>14.1058</v>
      </c>
      <c r="Z71" s="33"/>
      <c r="AA71" s="33"/>
    </row>
    <row r="72">
      <c r="A72" s="2" t="s">
        <v>182</v>
      </c>
      <c r="B72" s="31">
        <v>46214.0</v>
      </c>
      <c r="C72" s="2" t="s">
        <v>33</v>
      </c>
      <c r="D72" s="2" t="s">
        <v>33</v>
      </c>
      <c r="E72" s="2" t="s">
        <v>63</v>
      </c>
      <c r="F72" s="2">
        <v>34662.0</v>
      </c>
      <c r="G72" s="2">
        <v>97626.0</v>
      </c>
      <c r="H72" s="2">
        <v>18.0</v>
      </c>
      <c r="I72" s="2">
        <v>115.0</v>
      </c>
      <c r="J72" s="2">
        <v>3.0</v>
      </c>
      <c r="K72" s="2">
        <v>82.0</v>
      </c>
      <c r="L72" s="2">
        <v>528.0</v>
      </c>
      <c r="M72" s="2"/>
      <c r="N72" s="2">
        <v>442.0</v>
      </c>
      <c r="O72" s="2">
        <v>5500.0</v>
      </c>
      <c r="P72" s="15">
        <v>2431000.0</v>
      </c>
      <c r="Q72" s="32">
        <v>46216.95124350695</v>
      </c>
      <c r="R72" s="2" t="s">
        <v>64</v>
      </c>
      <c r="S72" s="2">
        <v>7.063210949E9</v>
      </c>
      <c r="X72" s="30">
        <v>98.168925</v>
      </c>
      <c r="Y72" s="30">
        <v>14.616438</v>
      </c>
      <c r="Z72" s="33"/>
      <c r="AA72" s="33"/>
    </row>
    <row r="73">
      <c r="A73" s="2" t="s">
        <v>183</v>
      </c>
      <c r="B73" s="31">
        <v>46214.0</v>
      </c>
      <c r="C73" s="2" t="s">
        <v>70</v>
      </c>
      <c r="D73" s="2" t="s">
        <v>70</v>
      </c>
      <c r="E73" s="2" t="s">
        <v>63</v>
      </c>
      <c r="F73" s="2">
        <v>11241.0</v>
      </c>
      <c r="G73" s="2">
        <v>42051.0</v>
      </c>
      <c r="H73" s="2">
        <v>16.0</v>
      </c>
      <c r="I73" s="2"/>
      <c r="J73" s="2">
        <v>2.0</v>
      </c>
      <c r="K73" s="2">
        <v>52.0</v>
      </c>
      <c r="L73" s="2"/>
      <c r="M73" s="2"/>
      <c r="N73" s="2">
        <v>440.0</v>
      </c>
      <c r="O73" s="2">
        <v>5500.0</v>
      </c>
      <c r="P73" s="15">
        <v>2420000.0</v>
      </c>
      <c r="Q73" s="32">
        <v>46216.95120225694</v>
      </c>
      <c r="R73" s="2" t="s">
        <v>64</v>
      </c>
      <c r="S73" s="2">
        <v>7.063210949E9</v>
      </c>
      <c r="X73" s="30">
        <v>98.183621</v>
      </c>
      <c r="Y73" s="30">
        <v>14.549636</v>
      </c>
      <c r="Z73" s="33"/>
      <c r="AA73" s="33"/>
    </row>
    <row r="74">
      <c r="A74" s="2" t="s">
        <v>184</v>
      </c>
      <c r="B74" s="31">
        <v>46214.0</v>
      </c>
      <c r="C74" s="2" t="s">
        <v>160</v>
      </c>
      <c r="D74" s="2" t="s">
        <v>160</v>
      </c>
      <c r="E74" s="2" t="s">
        <v>63</v>
      </c>
      <c r="F74" s="2">
        <v>3330.0</v>
      </c>
      <c r="G74" s="2">
        <v>7493.0</v>
      </c>
      <c r="H74" s="2">
        <v>8.0</v>
      </c>
      <c r="I74" s="2"/>
      <c r="J74" s="2"/>
      <c r="K74" s="2">
        <v>27.0</v>
      </c>
      <c r="L74" s="2"/>
      <c r="M74" s="2">
        <v>19.0</v>
      </c>
      <c r="N74" s="2">
        <v>219.0</v>
      </c>
      <c r="O74" s="2">
        <v>5500.0</v>
      </c>
      <c r="P74" s="15">
        <v>1204500.0</v>
      </c>
      <c r="Q74" s="32">
        <v>46216.95114953704</v>
      </c>
      <c r="R74" s="2" t="s">
        <v>27</v>
      </c>
      <c r="S74" s="2">
        <v>6.85979068E9</v>
      </c>
      <c r="X74" s="30">
        <v>98.187247</v>
      </c>
      <c r="Y74" s="30">
        <v>14.358035</v>
      </c>
      <c r="Z74" s="33"/>
      <c r="AA74" s="33"/>
    </row>
    <row r="75">
      <c r="A75" s="2" t="s">
        <v>24</v>
      </c>
      <c r="B75" s="31">
        <v>46213.0</v>
      </c>
      <c r="C75" s="2" t="s">
        <v>181</v>
      </c>
      <c r="D75" s="2" t="s">
        <v>181</v>
      </c>
      <c r="E75" s="2" t="s">
        <v>63</v>
      </c>
      <c r="F75" s="2"/>
      <c r="G75" s="2"/>
      <c r="H75" s="2"/>
      <c r="I75" s="2"/>
      <c r="J75" s="2"/>
      <c r="K75" s="2"/>
      <c r="L75" s="2"/>
      <c r="M75" s="2"/>
      <c r="N75" s="2">
        <v>440.0</v>
      </c>
      <c r="O75" s="2">
        <v>5500.0</v>
      </c>
      <c r="P75" s="15">
        <v>2420000.0</v>
      </c>
      <c r="Q75" s="32">
        <v>46213.676176469904</v>
      </c>
      <c r="R75" s="2" t="s">
        <v>22</v>
      </c>
      <c r="S75" s="2">
        <v>7.237034356E9</v>
      </c>
      <c r="X75" s="30">
        <v>98.22375</v>
      </c>
      <c r="Y75" s="30">
        <v>14.1058</v>
      </c>
      <c r="Z75" s="33"/>
      <c r="AA75" s="33"/>
    </row>
    <row r="76">
      <c r="A76" s="2" t="s">
        <v>28</v>
      </c>
      <c r="B76" s="31">
        <v>46211.0</v>
      </c>
      <c r="C76" s="2" t="s">
        <v>91</v>
      </c>
      <c r="D76" s="2" t="s">
        <v>91</v>
      </c>
      <c r="E76" s="2" t="s">
        <v>67</v>
      </c>
      <c r="F76" s="2">
        <v>18641.0</v>
      </c>
      <c r="G76" s="2">
        <v>38815.0</v>
      </c>
      <c r="H76" s="2">
        <v>29.0</v>
      </c>
      <c r="I76" s="2">
        <v>296.0</v>
      </c>
      <c r="J76" s="2">
        <v>1.0</v>
      </c>
      <c r="K76" s="2">
        <v>100.0</v>
      </c>
      <c r="L76" s="2">
        <v>1024.0</v>
      </c>
      <c r="M76" s="2">
        <v>67.0</v>
      </c>
      <c r="N76" s="2">
        <v>885.0</v>
      </c>
      <c r="O76" s="2">
        <v>5500.0</v>
      </c>
      <c r="P76" s="15">
        <v>4867500.0</v>
      </c>
      <c r="Q76" s="32">
        <v>46213.64765337963</v>
      </c>
      <c r="R76" s="2" t="s">
        <v>27</v>
      </c>
      <c r="S76" s="2">
        <v>6.85979068E9</v>
      </c>
      <c r="X76" s="30">
        <v>98.99112</v>
      </c>
      <c r="Y76" s="30">
        <v>11.45099</v>
      </c>
      <c r="Z76" s="33"/>
      <c r="AA76" s="33"/>
    </row>
    <row r="77">
      <c r="B77" s="10"/>
      <c r="X77" s="30" t="s">
        <v>185</v>
      </c>
      <c r="Y77" s="30" t="s">
        <v>185</v>
      </c>
      <c r="Z77" s="33"/>
      <c r="AA77" s="33"/>
    </row>
    <row r="78">
      <c r="B78" s="10"/>
      <c r="X78" s="30" t="s">
        <v>185</v>
      </c>
      <c r="Y78" s="30" t="s">
        <v>185</v>
      </c>
      <c r="Z78" s="33"/>
      <c r="AA78" s="33"/>
    </row>
    <row r="79">
      <c r="B79" s="10"/>
      <c r="X79" s="30" t="s">
        <v>185</v>
      </c>
      <c r="Y79" s="30" t="s">
        <v>185</v>
      </c>
      <c r="Z79" s="33"/>
      <c r="AA79" s="33"/>
    </row>
    <row r="80">
      <c r="B80" s="10"/>
      <c r="X80" s="30" t="s">
        <v>185</v>
      </c>
      <c r="Y80" s="30" t="s">
        <v>185</v>
      </c>
      <c r="Z80" s="33"/>
      <c r="AA80" s="33"/>
    </row>
    <row r="81">
      <c r="B81" s="10"/>
      <c r="X81" s="30" t="s">
        <v>185</v>
      </c>
      <c r="Y81" s="30" t="s">
        <v>185</v>
      </c>
      <c r="Z81" s="33"/>
      <c r="AA81" s="33"/>
    </row>
    <row r="82">
      <c r="B82" s="10"/>
      <c r="X82" s="30" t="s">
        <v>185</v>
      </c>
      <c r="Y82" s="30" t="s">
        <v>185</v>
      </c>
      <c r="Z82" s="33"/>
      <c r="AA82" s="33"/>
    </row>
    <row r="83">
      <c r="B83" s="10"/>
      <c r="X83" s="30" t="s">
        <v>185</v>
      </c>
      <c r="Y83" s="30" t="s">
        <v>185</v>
      </c>
      <c r="Z83" s="33"/>
      <c r="AA83" s="33"/>
    </row>
    <row r="84">
      <c r="B84" s="10"/>
      <c r="X84" s="30" t="s">
        <v>185</v>
      </c>
      <c r="Y84" s="30" t="s">
        <v>185</v>
      </c>
      <c r="Z84" s="33"/>
      <c r="AA84" s="33"/>
    </row>
    <row r="85">
      <c r="B85" s="10"/>
      <c r="X85" s="30" t="s">
        <v>185</v>
      </c>
      <c r="Y85" s="30" t="s">
        <v>185</v>
      </c>
      <c r="Z85" s="33"/>
      <c r="AA85" s="33"/>
    </row>
    <row r="86">
      <c r="B86" s="10"/>
      <c r="X86" s="30" t="s">
        <v>185</v>
      </c>
      <c r="Y86" s="30" t="s">
        <v>185</v>
      </c>
      <c r="Z86" s="33"/>
      <c r="AA86" s="33"/>
    </row>
    <row r="87">
      <c r="B87" s="10"/>
      <c r="X87" s="30" t="s">
        <v>185</v>
      </c>
      <c r="Y87" s="30" t="s">
        <v>185</v>
      </c>
      <c r="Z87" s="33"/>
      <c r="AA87" s="33"/>
    </row>
    <row r="88">
      <c r="B88" s="10"/>
      <c r="X88" s="30" t="s">
        <v>185</v>
      </c>
      <c r="Y88" s="30" t="s">
        <v>185</v>
      </c>
      <c r="Z88" s="33"/>
      <c r="AA88" s="33"/>
    </row>
    <row r="89">
      <c r="B89" s="10"/>
      <c r="X89" s="30" t="s">
        <v>185</v>
      </c>
      <c r="Y89" s="30" t="s">
        <v>185</v>
      </c>
      <c r="Z89" s="33"/>
      <c r="AA89" s="33"/>
    </row>
    <row r="90">
      <c r="B90" s="10"/>
      <c r="X90" s="30" t="s">
        <v>185</v>
      </c>
      <c r="Y90" s="30" t="s">
        <v>185</v>
      </c>
      <c r="Z90" s="33"/>
      <c r="AA90" s="33"/>
    </row>
    <row r="91">
      <c r="B91" s="10"/>
      <c r="X91" s="30" t="s">
        <v>185</v>
      </c>
      <c r="Y91" s="30" t="s">
        <v>185</v>
      </c>
      <c r="Z91" s="33"/>
      <c r="AA91" s="33"/>
    </row>
    <row r="92">
      <c r="B92" s="10"/>
      <c r="X92" s="30" t="s">
        <v>185</v>
      </c>
      <c r="Y92" s="30" t="s">
        <v>185</v>
      </c>
      <c r="Z92" s="33"/>
      <c r="AA92" s="33"/>
    </row>
    <row r="93">
      <c r="B93" s="10"/>
      <c r="X93" s="30" t="s">
        <v>185</v>
      </c>
      <c r="Y93" s="30" t="s">
        <v>185</v>
      </c>
      <c r="Z93" s="33"/>
      <c r="AA93" s="33"/>
    </row>
    <row r="94">
      <c r="B94" s="10"/>
      <c r="X94" s="30" t="s">
        <v>185</v>
      </c>
      <c r="Y94" s="30" t="s">
        <v>185</v>
      </c>
      <c r="Z94" s="33"/>
      <c r="AA94" s="33"/>
    </row>
    <row r="95">
      <c r="B95" s="10"/>
      <c r="X95" s="30" t="s">
        <v>185</v>
      </c>
      <c r="Y95" s="30" t="s">
        <v>185</v>
      </c>
      <c r="Z95" s="33"/>
      <c r="AA95" s="33"/>
    </row>
    <row r="96">
      <c r="B96" s="10"/>
      <c r="X96" s="30" t="s">
        <v>185</v>
      </c>
      <c r="Y96" s="30" t="s">
        <v>185</v>
      </c>
      <c r="Z96" s="33"/>
      <c r="AA96" s="33"/>
    </row>
    <row r="97">
      <c r="B97" s="10"/>
      <c r="X97" s="30" t="s">
        <v>185</v>
      </c>
      <c r="Y97" s="30" t="s">
        <v>185</v>
      </c>
      <c r="Z97" s="33"/>
      <c r="AA97" s="33"/>
    </row>
    <row r="98">
      <c r="B98" s="10"/>
      <c r="X98" s="30" t="s">
        <v>185</v>
      </c>
      <c r="Y98" s="30" t="s">
        <v>185</v>
      </c>
      <c r="Z98" s="33"/>
      <c r="AA98" s="33"/>
    </row>
    <row r="99">
      <c r="B99" s="10"/>
      <c r="X99" s="30" t="s">
        <v>185</v>
      </c>
      <c r="Y99" s="30" t="s">
        <v>185</v>
      </c>
      <c r="Z99" s="33"/>
      <c r="AA99" s="33"/>
    </row>
    <row r="100">
      <c r="B100" s="10"/>
      <c r="X100" s="30" t="s">
        <v>185</v>
      </c>
      <c r="Y100" s="30" t="s">
        <v>185</v>
      </c>
      <c r="Z100" s="33"/>
      <c r="AA100" s="33"/>
    </row>
    <row r="101">
      <c r="B101" s="10"/>
      <c r="X101" s="30" t="s">
        <v>185</v>
      </c>
      <c r="Y101" s="30" t="s">
        <v>185</v>
      </c>
      <c r="Z101" s="33"/>
      <c r="AA101" s="33"/>
    </row>
    <row r="102">
      <c r="B102" s="10"/>
      <c r="X102" s="30" t="s">
        <v>185</v>
      </c>
      <c r="Y102" s="30" t="s">
        <v>185</v>
      </c>
      <c r="Z102" s="33"/>
      <c r="AA102" s="33"/>
    </row>
    <row r="103">
      <c r="B103" s="10"/>
      <c r="X103" s="30" t="s">
        <v>185</v>
      </c>
      <c r="Y103" s="30" t="s">
        <v>185</v>
      </c>
      <c r="Z103" s="33"/>
      <c r="AA103" s="33"/>
    </row>
    <row r="104">
      <c r="B104" s="10"/>
      <c r="X104" s="30" t="s">
        <v>185</v>
      </c>
      <c r="Y104" s="30" t="s">
        <v>185</v>
      </c>
      <c r="Z104" s="33"/>
      <c r="AA104" s="33"/>
    </row>
    <row r="105">
      <c r="B105" s="10"/>
      <c r="X105" s="30" t="s">
        <v>185</v>
      </c>
      <c r="Y105" s="30" t="s">
        <v>185</v>
      </c>
      <c r="Z105" s="33"/>
      <c r="AA105" s="33"/>
    </row>
    <row r="106">
      <c r="B106" s="10"/>
      <c r="X106" s="30" t="s">
        <v>185</v>
      </c>
      <c r="Y106" s="30" t="s">
        <v>185</v>
      </c>
      <c r="Z106" s="33"/>
      <c r="AA106" s="33"/>
    </row>
    <row r="107">
      <c r="B107" s="10"/>
      <c r="X107" s="30" t="s">
        <v>185</v>
      </c>
      <c r="Y107" s="30" t="s">
        <v>185</v>
      </c>
      <c r="Z107" s="33"/>
      <c r="AA107" s="33"/>
    </row>
    <row r="108">
      <c r="B108" s="10"/>
      <c r="X108" s="30" t="s">
        <v>185</v>
      </c>
      <c r="Y108" s="30" t="s">
        <v>185</v>
      </c>
      <c r="Z108" s="33"/>
      <c r="AA108" s="33"/>
    </row>
    <row r="109">
      <c r="B109" s="10"/>
      <c r="X109" s="30" t="s">
        <v>185</v>
      </c>
      <c r="Y109" s="30" t="s">
        <v>185</v>
      </c>
      <c r="Z109" s="33"/>
      <c r="AA109" s="33"/>
    </row>
    <row r="110">
      <c r="B110" s="10"/>
      <c r="X110" s="30" t="s">
        <v>185</v>
      </c>
      <c r="Y110" s="30" t="s">
        <v>185</v>
      </c>
      <c r="Z110" s="33"/>
      <c r="AA110" s="33"/>
    </row>
    <row r="111">
      <c r="B111" s="10"/>
      <c r="X111" s="30" t="s">
        <v>185</v>
      </c>
      <c r="Y111" s="30" t="s">
        <v>185</v>
      </c>
      <c r="Z111" s="33"/>
      <c r="AA111" s="33"/>
    </row>
    <row r="112">
      <c r="B112" s="10"/>
      <c r="X112" s="30" t="s">
        <v>185</v>
      </c>
      <c r="Y112" s="30" t="s">
        <v>185</v>
      </c>
      <c r="Z112" s="33"/>
      <c r="AA112" s="33"/>
    </row>
    <row r="113">
      <c r="B113" s="10"/>
      <c r="X113" s="30" t="s">
        <v>185</v>
      </c>
      <c r="Y113" s="30" t="s">
        <v>185</v>
      </c>
      <c r="Z113" s="33"/>
      <c r="AA113" s="33"/>
    </row>
    <row r="114">
      <c r="B114" s="10"/>
      <c r="X114" s="30" t="s">
        <v>185</v>
      </c>
      <c r="Y114" s="30" t="s">
        <v>185</v>
      </c>
      <c r="Z114" s="33"/>
      <c r="AA114" s="33"/>
    </row>
    <row r="115">
      <c r="B115" s="10"/>
      <c r="X115" s="30" t="s">
        <v>185</v>
      </c>
      <c r="Y115" s="30" t="s">
        <v>185</v>
      </c>
      <c r="Z115" s="33"/>
      <c r="AA115" s="33"/>
    </row>
    <row r="116">
      <c r="B116" s="10"/>
      <c r="X116" s="30" t="s">
        <v>185</v>
      </c>
      <c r="Y116" s="30" t="s">
        <v>185</v>
      </c>
      <c r="Z116" s="33"/>
      <c r="AA116" s="33"/>
    </row>
    <row r="117">
      <c r="B117" s="10"/>
      <c r="X117" s="30" t="s">
        <v>185</v>
      </c>
      <c r="Y117" s="30" t="s">
        <v>185</v>
      </c>
      <c r="Z117" s="33"/>
      <c r="AA117" s="33"/>
    </row>
    <row r="118">
      <c r="B118" s="10"/>
      <c r="X118" s="30" t="s">
        <v>185</v>
      </c>
      <c r="Y118" s="30" t="s">
        <v>185</v>
      </c>
      <c r="Z118" s="33"/>
      <c r="AA118" s="33"/>
    </row>
    <row r="119">
      <c r="B119" s="10"/>
      <c r="X119" s="30" t="s">
        <v>185</v>
      </c>
      <c r="Y119" s="30" t="s">
        <v>185</v>
      </c>
      <c r="Z119" s="33"/>
      <c r="AA119" s="33"/>
    </row>
    <row r="120">
      <c r="B120" s="10"/>
      <c r="X120" s="30" t="s">
        <v>185</v>
      </c>
      <c r="Y120" s="30" t="s">
        <v>185</v>
      </c>
      <c r="Z120" s="33"/>
      <c r="AA120" s="33"/>
    </row>
    <row r="121">
      <c r="B121" s="10"/>
      <c r="X121" s="30" t="s">
        <v>185</v>
      </c>
      <c r="Y121" s="30" t="s">
        <v>185</v>
      </c>
      <c r="Z121" s="33"/>
      <c r="AA121" s="33"/>
    </row>
    <row r="122">
      <c r="B122" s="10"/>
      <c r="X122" s="30" t="s">
        <v>185</v>
      </c>
      <c r="Y122" s="30" t="s">
        <v>185</v>
      </c>
      <c r="Z122" s="33"/>
      <c r="AA122" s="33"/>
    </row>
    <row r="123">
      <c r="B123" s="10"/>
      <c r="X123" s="30" t="s">
        <v>185</v>
      </c>
      <c r="Y123" s="30" t="s">
        <v>185</v>
      </c>
      <c r="Z123" s="33"/>
      <c r="AA123" s="33"/>
    </row>
    <row r="124">
      <c r="B124" s="10"/>
      <c r="X124" s="30" t="s">
        <v>185</v>
      </c>
      <c r="Y124" s="30" t="s">
        <v>185</v>
      </c>
      <c r="Z124" s="33"/>
      <c r="AA124" s="33"/>
    </row>
    <row r="125">
      <c r="B125" s="10"/>
      <c r="X125" s="30" t="s">
        <v>185</v>
      </c>
      <c r="Y125" s="30" t="s">
        <v>185</v>
      </c>
      <c r="Z125" s="33"/>
      <c r="AA125" s="33"/>
    </row>
    <row r="126">
      <c r="B126" s="10"/>
      <c r="X126" s="30" t="s">
        <v>185</v>
      </c>
      <c r="Y126" s="30" t="s">
        <v>185</v>
      </c>
      <c r="Z126" s="33"/>
      <c r="AA126" s="33"/>
    </row>
    <row r="127">
      <c r="B127" s="10"/>
      <c r="X127" s="30" t="s">
        <v>185</v>
      </c>
      <c r="Y127" s="30" t="s">
        <v>185</v>
      </c>
      <c r="Z127" s="33"/>
      <c r="AA127" s="33"/>
    </row>
    <row r="128">
      <c r="B128" s="10"/>
      <c r="X128" s="30" t="s">
        <v>185</v>
      </c>
      <c r="Y128" s="30" t="s">
        <v>185</v>
      </c>
      <c r="Z128" s="33"/>
      <c r="AA128" s="33"/>
    </row>
    <row r="129">
      <c r="B129" s="10"/>
      <c r="X129" s="30" t="s">
        <v>185</v>
      </c>
      <c r="Y129" s="30" t="s">
        <v>185</v>
      </c>
      <c r="Z129" s="33"/>
      <c r="AA129" s="33"/>
    </row>
    <row r="130">
      <c r="B130" s="10"/>
      <c r="X130" s="30" t="s">
        <v>185</v>
      </c>
      <c r="Y130" s="30" t="s">
        <v>185</v>
      </c>
      <c r="Z130" s="33"/>
      <c r="AA130" s="33"/>
    </row>
    <row r="131">
      <c r="B131" s="10"/>
      <c r="X131" s="30" t="s">
        <v>185</v>
      </c>
      <c r="Y131" s="30" t="s">
        <v>185</v>
      </c>
      <c r="Z131" s="33"/>
      <c r="AA131" s="33"/>
    </row>
    <row r="132">
      <c r="B132" s="10"/>
      <c r="X132" s="30" t="s">
        <v>185</v>
      </c>
      <c r="Y132" s="30" t="s">
        <v>185</v>
      </c>
      <c r="Z132" s="33"/>
      <c r="AA132" s="33"/>
    </row>
    <row r="133">
      <c r="B133" s="10"/>
      <c r="X133" s="30" t="s">
        <v>185</v>
      </c>
      <c r="Y133" s="30" t="s">
        <v>185</v>
      </c>
      <c r="Z133" s="33"/>
      <c r="AA133" s="33"/>
    </row>
    <row r="134">
      <c r="B134" s="10"/>
      <c r="X134" s="30" t="s">
        <v>185</v>
      </c>
      <c r="Y134" s="30" t="s">
        <v>185</v>
      </c>
      <c r="Z134" s="33"/>
      <c r="AA134" s="33"/>
    </row>
    <row r="135">
      <c r="B135" s="10"/>
      <c r="X135" s="30" t="s">
        <v>185</v>
      </c>
      <c r="Y135" s="30" t="s">
        <v>185</v>
      </c>
      <c r="Z135" s="33"/>
      <c r="AA135" s="33"/>
    </row>
    <row r="136">
      <c r="B136" s="10"/>
      <c r="X136" s="30" t="s">
        <v>185</v>
      </c>
      <c r="Y136" s="30" t="s">
        <v>185</v>
      </c>
      <c r="Z136" s="33"/>
      <c r="AA136" s="33"/>
    </row>
    <row r="137">
      <c r="B137" s="10"/>
      <c r="X137" s="30" t="s">
        <v>185</v>
      </c>
      <c r="Y137" s="30" t="s">
        <v>185</v>
      </c>
      <c r="Z137" s="33"/>
      <c r="AA137" s="33"/>
    </row>
    <row r="138">
      <c r="B138" s="10"/>
      <c r="X138" s="30" t="s">
        <v>185</v>
      </c>
      <c r="Y138" s="30" t="s">
        <v>185</v>
      </c>
      <c r="Z138" s="33"/>
      <c r="AA138" s="33"/>
    </row>
    <row r="139">
      <c r="B139" s="10"/>
      <c r="X139" s="30" t="s">
        <v>185</v>
      </c>
      <c r="Y139" s="30" t="s">
        <v>185</v>
      </c>
      <c r="Z139" s="33"/>
      <c r="AA139" s="33"/>
    </row>
    <row r="140">
      <c r="B140" s="10"/>
      <c r="X140" s="30" t="s">
        <v>185</v>
      </c>
      <c r="Y140" s="30" t="s">
        <v>185</v>
      </c>
      <c r="Z140" s="33"/>
      <c r="AA140" s="33"/>
    </row>
    <row r="141">
      <c r="B141" s="10"/>
      <c r="X141" s="30" t="s">
        <v>185</v>
      </c>
      <c r="Y141" s="30" t="s">
        <v>185</v>
      </c>
      <c r="Z141" s="33"/>
      <c r="AA141" s="33"/>
    </row>
    <row r="142">
      <c r="B142" s="10"/>
      <c r="X142" s="30" t="s">
        <v>185</v>
      </c>
      <c r="Y142" s="30" t="s">
        <v>185</v>
      </c>
      <c r="Z142" s="33"/>
      <c r="AA142" s="33"/>
    </row>
    <row r="143">
      <c r="B143" s="10"/>
      <c r="X143" s="30" t="s">
        <v>185</v>
      </c>
      <c r="Y143" s="30" t="s">
        <v>185</v>
      </c>
      <c r="Z143" s="33"/>
      <c r="AA143" s="33"/>
    </row>
    <row r="144">
      <c r="B144" s="10"/>
      <c r="X144" s="30" t="s">
        <v>185</v>
      </c>
      <c r="Y144" s="30" t="s">
        <v>185</v>
      </c>
      <c r="Z144" s="33"/>
      <c r="AA144" s="33"/>
    </row>
    <row r="145">
      <c r="B145" s="10"/>
      <c r="X145" s="30" t="s">
        <v>185</v>
      </c>
      <c r="Y145" s="30" t="s">
        <v>185</v>
      </c>
      <c r="Z145" s="33"/>
      <c r="AA145" s="33"/>
    </row>
    <row r="146">
      <c r="B146" s="10"/>
      <c r="X146" s="30" t="s">
        <v>185</v>
      </c>
      <c r="Y146" s="30" t="s">
        <v>185</v>
      </c>
      <c r="Z146" s="33"/>
      <c r="AA146" s="33"/>
    </row>
    <row r="147">
      <c r="B147" s="10"/>
      <c r="X147" s="30" t="s">
        <v>185</v>
      </c>
      <c r="Y147" s="30" t="s">
        <v>185</v>
      </c>
      <c r="Z147" s="33"/>
      <c r="AA147" s="33"/>
    </row>
    <row r="148">
      <c r="B148" s="10"/>
      <c r="X148" s="30" t="s">
        <v>185</v>
      </c>
      <c r="Y148" s="30" t="s">
        <v>185</v>
      </c>
      <c r="Z148" s="33"/>
      <c r="AA148" s="33"/>
    </row>
    <row r="149">
      <c r="B149" s="10"/>
      <c r="X149" s="30" t="s">
        <v>185</v>
      </c>
      <c r="Y149" s="30" t="s">
        <v>185</v>
      </c>
      <c r="Z149" s="33"/>
      <c r="AA149" s="33"/>
    </row>
    <row r="150">
      <c r="B150" s="10"/>
      <c r="X150" s="30" t="s">
        <v>185</v>
      </c>
      <c r="Y150" s="30" t="s">
        <v>185</v>
      </c>
      <c r="Z150" s="33"/>
      <c r="AA150" s="33"/>
    </row>
    <row r="151">
      <c r="B151" s="10"/>
      <c r="X151" s="30" t="s">
        <v>185</v>
      </c>
      <c r="Y151" s="30" t="s">
        <v>185</v>
      </c>
      <c r="Z151" s="33"/>
      <c r="AA151" s="33"/>
    </row>
    <row r="152">
      <c r="B152" s="10"/>
      <c r="X152" s="30" t="s">
        <v>185</v>
      </c>
      <c r="Y152" s="30" t="s">
        <v>185</v>
      </c>
      <c r="Z152" s="33"/>
      <c r="AA152" s="33"/>
    </row>
    <row r="153">
      <c r="B153" s="10"/>
      <c r="X153" s="30" t="s">
        <v>185</v>
      </c>
      <c r="Y153" s="30" t="s">
        <v>185</v>
      </c>
      <c r="Z153" s="33"/>
      <c r="AA153" s="33"/>
    </row>
    <row r="154">
      <c r="B154" s="10"/>
      <c r="X154" s="30" t="s">
        <v>185</v>
      </c>
      <c r="Y154" s="30" t="s">
        <v>185</v>
      </c>
      <c r="Z154" s="33"/>
      <c r="AA154" s="33"/>
    </row>
    <row r="155">
      <c r="B155" s="10"/>
      <c r="X155" s="30" t="s">
        <v>185</v>
      </c>
      <c r="Y155" s="30" t="s">
        <v>185</v>
      </c>
      <c r="Z155" s="33"/>
      <c r="AA155" s="33"/>
    </row>
    <row r="156">
      <c r="B156" s="10"/>
      <c r="X156" s="30" t="s">
        <v>185</v>
      </c>
      <c r="Y156" s="30" t="s">
        <v>185</v>
      </c>
      <c r="Z156" s="33"/>
      <c r="AA156" s="33"/>
    </row>
    <row r="157">
      <c r="B157" s="10"/>
      <c r="X157" s="30" t="s">
        <v>185</v>
      </c>
      <c r="Y157" s="30" t="s">
        <v>185</v>
      </c>
      <c r="Z157" s="33"/>
      <c r="AA157" s="33"/>
    </row>
    <row r="158">
      <c r="B158" s="10"/>
      <c r="X158" s="30" t="s">
        <v>185</v>
      </c>
      <c r="Y158" s="30" t="s">
        <v>185</v>
      </c>
      <c r="Z158" s="33"/>
      <c r="AA158" s="33"/>
    </row>
    <row r="159">
      <c r="B159" s="10"/>
      <c r="X159" s="30" t="s">
        <v>185</v>
      </c>
      <c r="Y159" s="30" t="s">
        <v>185</v>
      </c>
      <c r="Z159" s="33"/>
      <c r="AA159" s="33"/>
    </row>
    <row r="160">
      <c r="B160" s="10"/>
      <c r="X160" s="30" t="s">
        <v>185</v>
      </c>
      <c r="Y160" s="30" t="s">
        <v>185</v>
      </c>
      <c r="Z160" s="33"/>
      <c r="AA160" s="33"/>
    </row>
    <row r="161">
      <c r="B161" s="10"/>
      <c r="X161" s="30" t="s">
        <v>185</v>
      </c>
      <c r="Y161" s="30" t="s">
        <v>185</v>
      </c>
      <c r="Z161" s="33"/>
      <c r="AA161" s="33"/>
    </row>
    <row r="162">
      <c r="B162" s="10"/>
      <c r="X162" s="30" t="s">
        <v>185</v>
      </c>
      <c r="Y162" s="30" t="s">
        <v>185</v>
      </c>
      <c r="Z162" s="33"/>
      <c r="AA162" s="33"/>
    </row>
    <row r="163">
      <c r="B163" s="10"/>
      <c r="X163" s="30" t="s">
        <v>185</v>
      </c>
      <c r="Y163" s="30" t="s">
        <v>185</v>
      </c>
      <c r="Z163" s="33"/>
      <c r="AA163" s="33"/>
    </row>
    <row r="164">
      <c r="B164" s="10"/>
      <c r="X164" s="30" t="s">
        <v>185</v>
      </c>
      <c r="Y164" s="30" t="s">
        <v>185</v>
      </c>
      <c r="Z164" s="33"/>
      <c r="AA164" s="33"/>
    </row>
    <row r="165">
      <c r="B165" s="10"/>
      <c r="X165" s="30" t="s">
        <v>185</v>
      </c>
      <c r="Y165" s="30" t="s">
        <v>185</v>
      </c>
      <c r="Z165" s="33"/>
      <c r="AA165" s="33"/>
    </row>
    <row r="166">
      <c r="B166" s="10"/>
      <c r="X166" s="30" t="s">
        <v>185</v>
      </c>
      <c r="Y166" s="30" t="s">
        <v>185</v>
      </c>
      <c r="Z166" s="33"/>
      <c r="AA166" s="33"/>
    </row>
    <row r="167">
      <c r="B167" s="10"/>
      <c r="X167" s="30" t="s">
        <v>185</v>
      </c>
      <c r="Y167" s="30" t="s">
        <v>185</v>
      </c>
      <c r="Z167" s="33"/>
      <c r="AA167" s="33"/>
    </row>
    <row r="168">
      <c r="B168" s="10"/>
      <c r="X168" s="30" t="s">
        <v>185</v>
      </c>
      <c r="Y168" s="30" t="s">
        <v>185</v>
      </c>
      <c r="Z168" s="33"/>
      <c r="AA168" s="33"/>
    </row>
    <row r="169">
      <c r="B169" s="10"/>
      <c r="X169" s="30" t="s">
        <v>185</v>
      </c>
      <c r="Y169" s="30" t="s">
        <v>185</v>
      </c>
      <c r="Z169" s="33"/>
      <c r="AA169" s="33"/>
    </row>
    <row r="170">
      <c r="B170" s="10"/>
      <c r="X170" s="30" t="s">
        <v>185</v>
      </c>
      <c r="Y170" s="30" t="s">
        <v>185</v>
      </c>
      <c r="Z170" s="33"/>
      <c r="AA170" s="33"/>
    </row>
    <row r="171">
      <c r="B171" s="10"/>
      <c r="X171" s="30" t="s">
        <v>185</v>
      </c>
      <c r="Y171" s="30" t="s">
        <v>185</v>
      </c>
      <c r="Z171" s="33"/>
      <c r="AA171" s="33"/>
    </row>
    <row r="172">
      <c r="B172" s="10"/>
      <c r="X172" s="30" t="s">
        <v>185</v>
      </c>
      <c r="Y172" s="30" t="s">
        <v>185</v>
      </c>
      <c r="Z172" s="33"/>
      <c r="AA172" s="33"/>
    </row>
    <row r="173">
      <c r="B173" s="10"/>
      <c r="X173" s="30" t="s">
        <v>185</v>
      </c>
      <c r="Y173" s="30" t="s">
        <v>185</v>
      </c>
      <c r="Z173" s="33"/>
      <c r="AA173" s="33"/>
    </row>
    <row r="174">
      <c r="B174" s="10"/>
      <c r="X174" s="30" t="s">
        <v>185</v>
      </c>
      <c r="Y174" s="30" t="s">
        <v>185</v>
      </c>
      <c r="Z174" s="33"/>
      <c r="AA174" s="33"/>
    </row>
    <row r="175">
      <c r="B175" s="10"/>
      <c r="X175" s="30" t="s">
        <v>185</v>
      </c>
      <c r="Y175" s="30" t="s">
        <v>185</v>
      </c>
      <c r="Z175" s="33"/>
      <c r="AA175" s="33"/>
    </row>
    <row r="176">
      <c r="B176" s="10"/>
      <c r="X176" s="30" t="s">
        <v>185</v>
      </c>
      <c r="Y176" s="30" t="s">
        <v>185</v>
      </c>
      <c r="Z176" s="33"/>
      <c r="AA176" s="33"/>
    </row>
    <row r="177">
      <c r="B177" s="10"/>
      <c r="X177" s="30" t="s">
        <v>185</v>
      </c>
      <c r="Y177" s="30" t="s">
        <v>185</v>
      </c>
      <c r="Z177" s="33"/>
      <c r="AA177" s="33"/>
    </row>
    <row r="178">
      <c r="B178" s="10"/>
      <c r="X178" s="30" t="s">
        <v>185</v>
      </c>
      <c r="Y178" s="30" t="s">
        <v>185</v>
      </c>
      <c r="Z178" s="33"/>
      <c r="AA178" s="33"/>
    </row>
    <row r="179">
      <c r="B179" s="10"/>
      <c r="X179" s="30" t="s">
        <v>185</v>
      </c>
      <c r="Y179" s="30" t="s">
        <v>185</v>
      </c>
      <c r="Z179" s="33"/>
      <c r="AA179" s="33"/>
    </row>
    <row r="180">
      <c r="B180" s="10"/>
      <c r="X180" s="30" t="s">
        <v>185</v>
      </c>
      <c r="Y180" s="30" t="s">
        <v>185</v>
      </c>
      <c r="Z180" s="33"/>
      <c r="AA180" s="33"/>
    </row>
    <row r="181">
      <c r="B181" s="10"/>
      <c r="X181" s="30" t="s">
        <v>185</v>
      </c>
      <c r="Y181" s="30" t="s">
        <v>185</v>
      </c>
      <c r="Z181" s="33"/>
      <c r="AA181" s="33"/>
    </row>
    <row r="182">
      <c r="B182" s="10"/>
      <c r="X182" s="30" t="s">
        <v>185</v>
      </c>
      <c r="Y182" s="30" t="s">
        <v>185</v>
      </c>
      <c r="Z182" s="33"/>
      <c r="AA182" s="33"/>
    </row>
    <row r="183">
      <c r="B183" s="10"/>
      <c r="X183" s="30" t="s">
        <v>185</v>
      </c>
      <c r="Y183" s="30" t="s">
        <v>185</v>
      </c>
      <c r="Z183" s="33"/>
      <c r="AA183" s="33"/>
    </row>
    <row r="184">
      <c r="B184" s="10"/>
      <c r="X184" s="30" t="s">
        <v>185</v>
      </c>
      <c r="Y184" s="30" t="s">
        <v>185</v>
      </c>
      <c r="Z184" s="33"/>
      <c r="AA184" s="33"/>
    </row>
    <row r="185">
      <c r="B185" s="10"/>
      <c r="X185" s="30" t="s">
        <v>185</v>
      </c>
      <c r="Y185" s="30" t="s">
        <v>185</v>
      </c>
      <c r="Z185" s="33"/>
      <c r="AA185" s="33"/>
    </row>
    <row r="186">
      <c r="B186" s="10"/>
      <c r="X186" s="30" t="s">
        <v>185</v>
      </c>
      <c r="Y186" s="30" t="s">
        <v>185</v>
      </c>
      <c r="Z186" s="33"/>
      <c r="AA186" s="33"/>
    </row>
    <row r="187">
      <c r="B187" s="10"/>
      <c r="X187" s="30" t="s">
        <v>185</v>
      </c>
      <c r="Y187" s="30" t="s">
        <v>185</v>
      </c>
      <c r="Z187" s="33"/>
      <c r="AA187" s="33"/>
    </row>
    <row r="188">
      <c r="B188" s="10"/>
      <c r="X188" s="30" t="s">
        <v>185</v>
      </c>
      <c r="Y188" s="30" t="s">
        <v>185</v>
      </c>
      <c r="Z188" s="33"/>
      <c r="AA188" s="33"/>
    </row>
    <row r="189">
      <c r="B189" s="10"/>
      <c r="X189" s="30" t="s">
        <v>185</v>
      </c>
      <c r="Y189" s="30" t="s">
        <v>185</v>
      </c>
      <c r="Z189" s="33"/>
      <c r="AA189" s="33"/>
    </row>
    <row r="190">
      <c r="B190" s="10"/>
      <c r="X190" s="30" t="s">
        <v>185</v>
      </c>
      <c r="Y190" s="30" t="s">
        <v>185</v>
      </c>
      <c r="Z190" s="33"/>
      <c r="AA190" s="33"/>
    </row>
    <row r="191">
      <c r="B191" s="10"/>
      <c r="X191" s="30" t="s">
        <v>185</v>
      </c>
      <c r="Y191" s="30" t="s">
        <v>185</v>
      </c>
      <c r="Z191" s="33"/>
      <c r="AA191" s="33"/>
    </row>
    <row r="192">
      <c r="B192" s="10"/>
      <c r="X192" s="30" t="s">
        <v>185</v>
      </c>
      <c r="Y192" s="30" t="s">
        <v>185</v>
      </c>
      <c r="Z192" s="33"/>
      <c r="AA192" s="33"/>
    </row>
    <row r="193">
      <c r="B193" s="10"/>
      <c r="X193" s="30" t="s">
        <v>185</v>
      </c>
      <c r="Y193" s="30" t="s">
        <v>185</v>
      </c>
      <c r="Z193" s="33"/>
      <c r="AA193" s="33"/>
    </row>
    <row r="194">
      <c r="B194" s="10"/>
      <c r="X194" s="30" t="s">
        <v>185</v>
      </c>
      <c r="Y194" s="30" t="s">
        <v>185</v>
      </c>
      <c r="Z194" s="33"/>
      <c r="AA194" s="33"/>
    </row>
    <row r="195">
      <c r="B195" s="10"/>
      <c r="X195" s="30" t="s">
        <v>185</v>
      </c>
      <c r="Y195" s="30" t="s">
        <v>185</v>
      </c>
      <c r="Z195" s="33"/>
      <c r="AA195" s="33"/>
    </row>
    <row r="196">
      <c r="B196" s="10"/>
      <c r="X196" s="30" t="s">
        <v>185</v>
      </c>
      <c r="Y196" s="30" t="s">
        <v>185</v>
      </c>
      <c r="Z196" s="33"/>
      <c r="AA196" s="33"/>
    </row>
    <row r="197">
      <c r="B197" s="10"/>
      <c r="X197" s="30" t="s">
        <v>185</v>
      </c>
      <c r="Y197" s="30" t="s">
        <v>185</v>
      </c>
      <c r="Z197" s="33"/>
      <c r="AA197" s="33"/>
    </row>
    <row r="198">
      <c r="B198" s="10"/>
      <c r="X198" s="30" t="s">
        <v>185</v>
      </c>
      <c r="Y198" s="30" t="s">
        <v>185</v>
      </c>
      <c r="Z198" s="33"/>
      <c r="AA198" s="33"/>
    </row>
    <row r="199">
      <c r="B199" s="10"/>
      <c r="X199" s="30" t="s">
        <v>185</v>
      </c>
      <c r="Y199" s="30" t="s">
        <v>185</v>
      </c>
      <c r="Z199" s="33"/>
      <c r="AA199" s="33"/>
    </row>
    <row r="200">
      <c r="B200" s="10"/>
      <c r="X200" s="30" t="s">
        <v>185</v>
      </c>
      <c r="Y200" s="30" t="s">
        <v>185</v>
      </c>
      <c r="Z200" s="33"/>
      <c r="AA200" s="33"/>
    </row>
    <row r="201">
      <c r="B201" s="10"/>
      <c r="X201" s="30" t="s">
        <v>185</v>
      </c>
      <c r="Y201" s="30" t="s">
        <v>185</v>
      </c>
      <c r="Z201" s="33"/>
      <c r="AA201" s="33"/>
    </row>
    <row r="202">
      <c r="B202" s="10"/>
      <c r="X202" s="30" t="s">
        <v>185</v>
      </c>
      <c r="Y202" s="30" t="s">
        <v>185</v>
      </c>
      <c r="Z202" s="33"/>
      <c r="AA202" s="33"/>
    </row>
    <row r="203">
      <c r="B203" s="10"/>
      <c r="X203" s="30" t="s">
        <v>185</v>
      </c>
      <c r="Y203" s="30" t="s">
        <v>185</v>
      </c>
      <c r="Z203" s="33"/>
      <c r="AA203" s="33"/>
    </row>
    <row r="204">
      <c r="B204" s="10"/>
      <c r="X204" s="30" t="s">
        <v>185</v>
      </c>
      <c r="Y204" s="30" t="s">
        <v>185</v>
      </c>
      <c r="Z204" s="33"/>
      <c r="AA204" s="33"/>
    </row>
    <row r="205">
      <c r="B205" s="10"/>
      <c r="X205" s="30" t="s">
        <v>185</v>
      </c>
      <c r="Y205" s="30" t="s">
        <v>185</v>
      </c>
      <c r="Z205" s="33"/>
      <c r="AA205" s="33"/>
    </row>
    <row r="206">
      <c r="B206" s="10"/>
      <c r="X206" s="30" t="s">
        <v>185</v>
      </c>
      <c r="Y206" s="30" t="s">
        <v>185</v>
      </c>
      <c r="Z206" s="33"/>
      <c r="AA206" s="33"/>
    </row>
    <row r="207">
      <c r="B207" s="10"/>
      <c r="X207" s="30" t="s">
        <v>185</v>
      </c>
      <c r="Y207" s="30" t="s">
        <v>185</v>
      </c>
      <c r="Z207" s="33"/>
      <c r="AA207" s="33"/>
    </row>
    <row r="208">
      <c r="B208" s="10"/>
      <c r="X208" s="30" t="s">
        <v>185</v>
      </c>
      <c r="Y208" s="30" t="s">
        <v>185</v>
      </c>
      <c r="Z208" s="33"/>
      <c r="AA208" s="33"/>
    </row>
    <row r="209">
      <c r="B209" s="10"/>
      <c r="X209" s="30" t="s">
        <v>185</v>
      </c>
      <c r="Y209" s="30" t="s">
        <v>185</v>
      </c>
      <c r="Z209" s="33"/>
      <c r="AA209" s="33"/>
    </row>
    <row r="210">
      <c r="B210" s="10"/>
      <c r="X210" s="30" t="s">
        <v>185</v>
      </c>
      <c r="Y210" s="30" t="s">
        <v>185</v>
      </c>
      <c r="Z210" s="33"/>
      <c r="AA210" s="33"/>
    </row>
    <row r="211">
      <c r="B211" s="10"/>
      <c r="X211" s="30" t="s">
        <v>185</v>
      </c>
      <c r="Y211" s="30" t="s">
        <v>185</v>
      </c>
      <c r="Z211" s="33"/>
      <c r="AA211" s="33"/>
    </row>
    <row r="212">
      <c r="B212" s="10"/>
      <c r="X212" s="30" t="s">
        <v>185</v>
      </c>
      <c r="Y212" s="30" t="s">
        <v>185</v>
      </c>
      <c r="Z212" s="33"/>
      <c r="AA212" s="33"/>
    </row>
    <row r="213">
      <c r="B213" s="10"/>
      <c r="X213" s="30" t="s">
        <v>185</v>
      </c>
      <c r="Y213" s="30" t="s">
        <v>185</v>
      </c>
      <c r="Z213" s="33"/>
      <c r="AA213" s="33"/>
    </row>
    <row r="214">
      <c r="B214" s="10"/>
      <c r="X214" s="30" t="s">
        <v>185</v>
      </c>
      <c r="Y214" s="30" t="s">
        <v>185</v>
      </c>
      <c r="Z214" s="33"/>
      <c r="AA214" s="33"/>
    </row>
    <row r="215">
      <c r="B215" s="10"/>
      <c r="X215" s="30" t="s">
        <v>185</v>
      </c>
      <c r="Y215" s="30" t="s">
        <v>185</v>
      </c>
      <c r="Z215" s="33"/>
      <c r="AA215" s="33"/>
    </row>
    <row r="216">
      <c r="B216" s="10"/>
      <c r="X216" s="30" t="s">
        <v>185</v>
      </c>
      <c r="Y216" s="30" t="s">
        <v>185</v>
      </c>
      <c r="Z216" s="33"/>
      <c r="AA216" s="33"/>
    </row>
    <row r="217">
      <c r="B217" s="10"/>
      <c r="X217" s="30" t="s">
        <v>185</v>
      </c>
      <c r="Y217" s="30" t="s">
        <v>185</v>
      </c>
      <c r="Z217" s="33"/>
      <c r="AA217" s="33"/>
    </row>
    <row r="218">
      <c r="B218" s="10"/>
      <c r="X218" s="30" t="s">
        <v>185</v>
      </c>
      <c r="Y218" s="30" t="s">
        <v>185</v>
      </c>
      <c r="Z218" s="33"/>
      <c r="AA218" s="33"/>
    </row>
    <row r="219">
      <c r="B219" s="10"/>
      <c r="X219" s="30" t="s">
        <v>185</v>
      </c>
      <c r="Y219" s="30" t="s">
        <v>185</v>
      </c>
      <c r="Z219" s="33"/>
      <c r="AA219" s="33"/>
    </row>
    <row r="220">
      <c r="B220" s="10"/>
      <c r="X220" s="30" t="s">
        <v>185</v>
      </c>
      <c r="Y220" s="30" t="s">
        <v>185</v>
      </c>
      <c r="Z220" s="33"/>
      <c r="AA220" s="33"/>
    </row>
    <row r="221">
      <c r="B221" s="10"/>
      <c r="X221" s="30" t="s">
        <v>185</v>
      </c>
      <c r="Y221" s="30" t="s">
        <v>185</v>
      </c>
      <c r="Z221" s="33"/>
      <c r="AA221" s="33"/>
    </row>
    <row r="222">
      <c r="B222" s="10"/>
      <c r="X222" s="30" t="s">
        <v>185</v>
      </c>
      <c r="Y222" s="30" t="s">
        <v>185</v>
      </c>
      <c r="Z222" s="33"/>
      <c r="AA222" s="33"/>
    </row>
    <row r="223">
      <c r="B223" s="10"/>
      <c r="X223" s="30" t="s">
        <v>185</v>
      </c>
      <c r="Y223" s="30" t="s">
        <v>185</v>
      </c>
      <c r="Z223" s="33"/>
      <c r="AA223" s="33"/>
    </row>
    <row r="224">
      <c r="B224" s="10"/>
      <c r="X224" s="30" t="s">
        <v>185</v>
      </c>
      <c r="Y224" s="30" t="s">
        <v>185</v>
      </c>
      <c r="Z224" s="33"/>
      <c r="AA224" s="33"/>
    </row>
    <row r="225">
      <c r="B225" s="10"/>
      <c r="X225" s="30" t="s">
        <v>185</v>
      </c>
      <c r="Y225" s="30" t="s">
        <v>185</v>
      </c>
      <c r="Z225" s="33"/>
      <c r="AA225" s="33"/>
    </row>
    <row r="226">
      <c r="B226" s="10"/>
      <c r="X226" s="30" t="s">
        <v>185</v>
      </c>
      <c r="Y226" s="30" t="s">
        <v>185</v>
      </c>
      <c r="Z226" s="33"/>
      <c r="AA226" s="33"/>
    </row>
    <row r="227">
      <c r="B227" s="10"/>
      <c r="X227" s="30" t="s">
        <v>185</v>
      </c>
      <c r="Y227" s="30" t="s">
        <v>185</v>
      </c>
      <c r="Z227" s="33"/>
      <c r="AA227" s="33"/>
    </row>
    <row r="228">
      <c r="B228" s="10"/>
      <c r="X228" s="30" t="s">
        <v>185</v>
      </c>
      <c r="Y228" s="30" t="s">
        <v>185</v>
      </c>
      <c r="Z228" s="33"/>
      <c r="AA228" s="33"/>
    </row>
    <row r="229">
      <c r="B229" s="10"/>
      <c r="X229" s="30" t="s">
        <v>185</v>
      </c>
      <c r="Y229" s="30" t="s">
        <v>185</v>
      </c>
      <c r="Z229" s="33"/>
      <c r="AA229" s="33"/>
    </row>
    <row r="230">
      <c r="B230" s="10"/>
      <c r="X230" s="30" t="s">
        <v>185</v>
      </c>
      <c r="Y230" s="30" t="s">
        <v>185</v>
      </c>
      <c r="Z230" s="33"/>
      <c r="AA230" s="33"/>
    </row>
    <row r="231">
      <c r="B231" s="10"/>
      <c r="X231" s="30" t="s">
        <v>185</v>
      </c>
      <c r="Y231" s="30" t="s">
        <v>185</v>
      </c>
      <c r="Z231" s="33"/>
      <c r="AA231" s="33"/>
    </row>
    <row r="232">
      <c r="B232" s="10"/>
      <c r="X232" s="30" t="s">
        <v>185</v>
      </c>
      <c r="Y232" s="30" t="s">
        <v>185</v>
      </c>
      <c r="Z232" s="33"/>
      <c r="AA232" s="33"/>
    </row>
    <row r="233">
      <c r="B233" s="10"/>
      <c r="X233" s="30" t="s">
        <v>185</v>
      </c>
      <c r="Y233" s="30" t="s">
        <v>185</v>
      </c>
      <c r="Z233" s="33"/>
      <c r="AA233" s="33"/>
    </row>
    <row r="234">
      <c r="B234" s="10"/>
      <c r="X234" s="30" t="s">
        <v>185</v>
      </c>
      <c r="Y234" s="30" t="s">
        <v>185</v>
      </c>
      <c r="Z234" s="33"/>
      <c r="AA234" s="33"/>
    </row>
    <row r="235">
      <c r="B235" s="10"/>
      <c r="X235" s="30" t="s">
        <v>185</v>
      </c>
      <c r="Y235" s="30" t="s">
        <v>185</v>
      </c>
      <c r="Z235" s="33"/>
      <c r="AA235" s="33"/>
    </row>
    <row r="236">
      <c r="B236" s="10"/>
      <c r="X236" s="30" t="s">
        <v>185</v>
      </c>
      <c r="Y236" s="30" t="s">
        <v>185</v>
      </c>
      <c r="Z236" s="33"/>
      <c r="AA236" s="33"/>
    </row>
    <row r="237">
      <c r="B237" s="10"/>
      <c r="X237" s="30" t="s">
        <v>185</v>
      </c>
      <c r="Y237" s="30" t="s">
        <v>185</v>
      </c>
      <c r="Z237" s="33"/>
      <c r="AA237" s="33"/>
    </row>
    <row r="238">
      <c r="B238" s="10"/>
      <c r="X238" s="30" t="s">
        <v>185</v>
      </c>
      <c r="Y238" s="30" t="s">
        <v>185</v>
      </c>
      <c r="Z238" s="33"/>
      <c r="AA238" s="33"/>
    </row>
    <row r="239">
      <c r="B239" s="10"/>
      <c r="X239" s="30" t="s">
        <v>185</v>
      </c>
      <c r="Y239" s="30" t="s">
        <v>185</v>
      </c>
      <c r="Z239" s="33"/>
      <c r="AA239" s="33"/>
    </row>
    <row r="240">
      <c r="B240" s="10"/>
      <c r="X240" s="30" t="s">
        <v>185</v>
      </c>
      <c r="Y240" s="30" t="s">
        <v>185</v>
      </c>
      <c r="Z240" s="33"/>
      <c r="AA240" s="33"/>
    </row>
    <row r="241">
      <c r="B241" s="10"/>
      <c r="X241" s="30" t="s">
        <v>185</v>
      </c>
      <c r="Y241" s="30" t="s">
        <v>185</v>
      </c>
      <c r="Z241" s="33"/>
      <c r="AA241" s="33"/>
    </row>
    <row r="242">
      <c r="B242" s="10"/>
      <c r="X242" s="30" t="s">
        <v>185</v>
      </c>
      <c r="Y242" s="30" t="s">
        <v>185</v>
      </c>
      <c r="Z242" s="33"/>
      <c r="AA242" s="33"/>
    </row>
    <row r="243">
      <c r="B243" s="10"/>
      <c r="X243" s="30" t="s">
        <v>185</v>
      </c>
      <c r="Y243" s="30" t="s">
        <v>185</v>
      </c>
      <c r="Z243" s="33"/>
      <c r="AA243" s="33"/>
    </row>
    <row r="244">
      <c r="B244" s="10"/>
      <c r="X244" s="30" t="s">
        <v>185</v>
      </c>
      <c r="Y244" s="30" t="s">
        <v>185</v>
      </c>
      <c r="Z244" s="33"/>
      <c r="AA244" s="33"/>
    </row>
    <row r="245">
      <c r="B245" s="10"/>
      <c r="X245" s="30" t="s">
        <v>185</v>
      </c>
      <c r="Y245" s="30" t="s">
        <v>185</v>
      </c>
      <c r="Z245" s="33"/>
      <c r="AA245" s="33"/>
    </row>
    <row r="246">
      <c r="B246" s="10"/>
      <c r="X246" s="30" t="s">
        <v>185</v>
      </c>
      <c r="Y246" s="30" t="s">
        <v>185</v>
      </c>
      <c r="Z246" s="33"/>
      <c r="AA246" s="33"/>
    </row>
    <row r="247">
      <c r="B247" s="10"/>
      <c r="X247" s="30" t="s">
        <v>185</v>
      </c>
      <c r="Y247" s="30" t="s">
        <v>185</v>
      </c>
      <c r="Z247" s="33"/>
      <c r="AA247" s="33"/>
    </row>
    <row r="248">
      <c r="B248" s="10"/>
      <c r="X248" s="30" t="s">
        <v>185</v>
      </c>
      <c r="Y248" s="30" t="s">
        <v>185</v>
      </c>
      <c r="Z248" s="33"/>
      <c r="AA248" s="33"/>
    </row>
    <row r="249">
      <c r="B249" s="10"/>
      <c r="X249" s="30" t="s">
        <v>185</v>
      </c>
      <c r="Y249" s="30" t="s">
        <v>185</v>
      </c>
      <c r="Z249" s="33"/>
      <c r="AA249" s="33"/>
    </row>
    <row r="250">
      <c r="B250" s="10"/>
      <c r="X250" s="30" t="s">
        <v>185</v>
      </c>
      <c r="Y250" s="30" t="s">
        <v>185</v>
      </c>
      <c r="Z250" s="33"/>
      <c r="AA250" s="33"/>
    </row>
    <row r="251">
      <c r="B251" s="10"/>
      <c r="X251" s="30" t="s">
        <v>185</v>
      </c>
      <c r="Y251" s="30" t="s">
        <v>185</v>
      </c>
      <c r="Z251" s="33"/>
      <c r="AA251" s="33"/>
    </row>
    <row r="252">
      <c r="B252" s="10"/>
      <c r="X252" s="30" t="s">
        <v>185</v>
      </c>
      <c r="Y252" s="30" t="s">
        <v>185</v>
      </c>
      <c r="Z252" s="33"/>
      <c r="AA252" s="33"/>
    </row>
    <row r="253">
      <c r="B253" s="10"/>
      <c r="X253" s="30" t="s">
        <v>185</v>
      </c>
      <c r="Y253" s="30" t="s">
        <v>185</v>
      </c>
      <c r="Z253" s="33"/>
      <c r="AA253" s="33"/>
    </row>
    <row r="254">
      <c r="B254" s="10"/>
      <c r="X254" s="30" t="s">
        <v>185</v>
      </c>
      <c r="Y254" s="30" t="s">
        <v>185</v>
      </c>
      <c r="Z254" s="33"/>
      <c r="AA254" s="33"/>
    </row>
    <row r="255">
      <c r="B255" s="10"/>
      <c r="X255" s="30" t="s">
        <v>185</v>
      </c>
      <c r="Y255" s="30" t="s">
        <v>185</v>
      </c>
      <c r="Z255" s="33"/>
      <c r="AA255" s="33"/>
    </row>
    <row r="256">
      <c r="B256" s="10"/>
      <c r="X256" s="30" t="s">
        <v>185</v>
      </c>
      <c r="Y256" s="30" t="s">
        <v>185</v>
      </c>
      <c r="Z256" s="33"/>
      <c r="AA256" s="33"/>
    </row>
    <row r="257">
      <c r="B257" s="10"/>
      <c r="X257" s="30" t="s">
        <v>185</v>
      </c>
      <c r="Y257" s="30" t="s">
        <v>185</v>
      </c>
      <c r="Z257" s="33"/>
      <c r="AA257" s="33"/>
    </row>
    <row r="258">
      <c r="B258" s="10"/>
      <c r="X258" s="30" t="s">
        <v>185</v>
      </c>
      <c r="Y258" s="30" t="s">
        <v>185</v>
      </c>
      <c r="Z258" s="33"/>
      <c r="AA258" s="33"/>
    </row>
    <row r="259">
      <c r="B259" s="10"/>
      <c r="X259" s="30" t="s">
        <v>185</v>
      </c>
      <c r="Y259" s="30" t="s">
        <v>185</v>
      </c>
      <c r="Z259" s="33"/>
      <c r="AA259" s="33"/>
    </row>
    <row r="260">
      <c r="B260" s="10"/>
      <c r="X260" s="30" t="s">
        <v>185</v>
      </c>
      <c r="Y260" s="30" t="s">
        <v>185</v>
      </c>
      <c r="Z260" s="33"/>
      <c r="AA260" s="33"/>
    </row>
    <row r="261">
      <c r="B261" s="10"/>
      <c r="X261" s="30" t="s">
        <v>185</v>
      </c>
      <c r="Y261" s="30" t="s">
        <v>185</v>
      </c>
      <c r="Z261" s="33"/>
      <c r="AA261" s="33"/>
    </row>
    <row r="262">
      <c r="B262" s="10"/>
      <c r="X262" s="30" t="s">
        <v>185</v>
      </c>
      <c r="Y262" s="30" t="s">
        <v>185</v>
      </c>
      <c r="Z262" s="33"/>
      <c r="AA262" s="33"/>
    </row>
    <row r="263">
      <c r="B263" s="10"/>
      <c r="X263" s="30" t="s">
        <v>185</v>
      </c>
      <c r="Y263" s="30" t="s">
        <v>185</v>
      </c>
      <c r="Z263" s="33"/>
      <c r="AA263" s="33"/>
    </row>
    <row r="264">
      <c r="B264" s="10"/>
      <c r="X264" s="30" t="s">
        <v>185</v>
      </c>
      <c r="Y264" s="30" t="s">
        <v>185</v>
      </c>
      <c r="Z264" s="33"/>
      <c r="AA264" s="33"/>
    </row>
    <row r="265">
      <c r="B265" s="10"/>
      <c r="X265" s="30" t="s">
        <v>185</v>
      </c>
      <c r="Y265" s="30" t="s">
        <v>185</v>
      </c>
      <c r="Z265" s="33"/>
      <c r="AA265" s="33"/>
    </row>
    <row r="266">
      <c r="B266" s="10"/>
      <c r="X266" s="30" t="s">
        <v>185</v>
      </c>
      <c r="Y266" s="30" t="s">
        <v>185</v>
      </c>
      <c r="Z266" s="33"/>
      <c r="AA266" s="33"/>
    </row>
    <row r="267">
      <c r="B267" s="10"/>
      <c r="X267" s="30" t="s">
        <v>185</v>
      </c>
      <c r="Y267" s="30" t="s">
        <v>185</v>
      </c>
      <c r="Z267" s="33"/>
      <c r="AA267" s="33"/>
    </row>
    <row r="268">
      <c r="B268" s="10"/>
      <c r="X268" s="30" t="s">
        <v>185</v>
      </c>
      <c r="Y268" s="30" t="s">
        <v>185</v>
      </c>
      <c r="Z268" s="33"/>
      <c r="AA268" s="33"/>
    </row>
    <row r="269">
      <c r="B269" s="10"/>
      <c r="X269" s="30" t="s">
        <v>185</v>
      </c>
      <c r="Y269" s="30" t="s">
        <v>185</v>
      </c>
      <c r="Z269" s="33"/>
      <c r="AA269" s="33"/>
    </row>
    <row r="270">
      <c r="B270" s="10"/>
      <c r="X270" s="30" t="s">
        <v>185</v>
      </c>
      <c r="Y270" s="30" t="s">
        <v>185</v>
      </c>
      <c r="Z270" s="33"/>
      <c r="AA270" s="33"/>
    </row>
    <row r="271">
      <c r="B271" s="10"/>
      <c r="X271" s="30" t="s">
        <v>185</v>
      </c>
      <c r="Y271" s="30" t="s">
        <v>185</v>
      </c>
      <c r="Z271" s="33"/>
      <c r="AA271" s="33"/>
    </row>
    <row r="272">
      <c r="B272" s="10"/>
      <c r="X272" s="30" t="s">
        <v>185</v>
      </c>
      <c r="Y272" s="30" t="s">
        <v>185</v>
      </c>
      <c r="Z272" s="33"/>
      <c r="AA272" s="33"/>
    </row>
    <row r="273">
      <c r="B273" s="10"/>
      <c r="X273" s="30" t="s">
        <v>185</v>
      </c>
      <c r="Y273" s="30" t="s">
        <v>185</v>
      </c>
      <c r="Z273" s="33"/>
      <c r="AA273" s="33"/>
    </row>
    <row r="274">
      <c r="B274" s="10"/>
      <c r="X274" s="30" t="s">
        <v>185</v>
      </c>
      <c r="Y274" s="30" t="s">
        <v>185</v>
      </c>
      <c r="Z274" s="33"/>
      <c r="AA274" s="33"/>
    </row>
    <row r="275">
      <c r="B275" s="10"/>
      <c r="X275" s="30" t="s">
        <v>185</v>
      </c>
      <c r="Y275" s="30" t="s">
        <v>185</v>
      </c>
      <c r="Z275" s="33"/>
      <c r="AA275" s="33"/>
    </row>
    <row r="276">
      <c r="B276" s="10"/>
      <c r="X276" s="30" t="s">
        <v>185</v>
      </c>
      <c r="Y276" s="30" t="s">
        <v>185</v>
      </c>
      <c r="Z276" s="33"/>
      <c r="AA276" s="33"/>
    </row>
    <row r="277">
      <c r="B277" s="10"/>
      <c r="X277" s="30" t="s">
        <v>185</v>
      </c>
      <c r="Y277" s="30" t="s">
        <v>185</v>
      </c>
      <c r="Z277" s="33"/>
      <c r="AA277" s="33"/>
    </row>
    <row r="278">
      <c r="B278" s="10"/>
      <c r="X278" s="30" t="s">
        <v>185</v>
      </c>
      <c r="Y278" s="30" t="s">
        <v>185</v>
      </c>
      <c r="Z278" s="33"/>
      <c r="AA278" s="33"/>
    </row>
    <row r="279">
      <c r="B279" s="10"/>
      <c r="X279" s="30" t="s">
        <v>185</v>
      </c>
      <c r="Y279" s="30" t="s">
        <v>185</v>
      </c>
      <c r="Z279" s="33"/>
      <c r="AA279" s="33"/>
    </row>
    <row r="280">
      <c r="B280" s="10"/>
      <c r="X280" s="30" t="s">
        <v>185</v>
      </c>
      <c r="Y280" s="30" t="s">
        <v>185</v>
      </c>
      <c r="Z280" s="33"/>
      <c r="AA280" s="33"/>
    </row>
    <row r="281">
      <c r="B281" s="10"/>
      <c r="X281" s="30" t="s">
        <v>185</v>
      </c>
      <c r="Y281" s="30" t="s">
        <v>185</v>
      </c>
      <c r="Z281" s="33"/>
      <c r="AA281" s="33"/>
    </row>
    <row r="282">
      <c r="B282" s="10"/>
      <c r="X282" s="30" t="s">
        <v>185</v>
      </c>
      <c r="Y282" s="30" t="s">
        <v>185</v>
      </c>
      <c r="Z282" s="33"/>
      <c r="AA282" s="33"/>
    </row>
    <row r="283">
      <c r="B283" s="10"/>
      <c r="X283" s="30" t="s">
        <v>185</v>
      </c>
      <c r="Y283" s="30" t="s">
        <v>185</v>
      </c>
      <c r="Z283" s="33"/>
      <c r="AA283" s="33"/>
    </row>
    <row r="284">
      <c r="B284" s="10"/>
      <c r="X284" s="30" t="s">
        <v>185</v>
      </c>
      <c r="Y284" s="30" t="s">
        <v>185</v>
      </c>
      <c r="Z284" s="33"/>
      <c r="AA284" s="33"/>
    </row>
    <row r="285">
      <c r="B285" s="10"/>
      <c r="X285" s="30" t="s">
        <v>185</v>
      </c>
      <c r="Y285" s="30" t="s">
        <v>185</v>
      </c>
      <c r="Z285" s="33"/>
      <c r="AA285" s="33"/>
    </row>
    <row r="286">
      <c r="B286" s="10"/>
      <c r="X286" s="30" t="s">
        <v>185</v>
      </c>
      <c r="Y286" s="30" t="s">
        <v>185</v>
      </c>
      <c r="Z286" s="33"/>
      <c r="AA286" s="33"/>
    </row>
    <row r="287">
      <c r="B287" s="10"/>
      <c r="X287" s="30" t="s">
        <v>185</v>
      </c>
      <c r="Y287" s="30" t="s">
        <v>185</v>
      </c>
      <c r="Z287" s="33"/>
      <c r="AA287" s="33"/>
    </row>
    <row r="288">
      <c r="B288" s="10"/>
      <c r="X288" s="30" t="s">
        <v>185</v>
      </c>
      <c r="Y288" s="30" t="s">
        <v>185</v>
      </c>
      <c r="Z288" s="33"/>
      <c r="AA288" s="33"/>
    </row>
    <row r="289">
      <c r="B289" s="10"/>
      <c r="X289" s="30" t="s">
        <v>185</v>
      </c>
      <c r="Y289" s="30" t="s">
        <v>185</v>
      </c>
      <c r="Z289" s="33"/>
      <c r="AA289" s="33"/>
    </row>
    <row r="290">
      <c r="B290" s="10"/>
      <c r="X290" s="30" t="s">
        <v>185</v>
      </c>
      <c r="Y290" s="30" t="s">
        <v>185</v>
      </c>
      <c r="Z290" s="33"/>
      <c r="AA290" s="33"/>
    </row>
    <row r="291">
      <c r="B291" s="10"/>
      <c r="X291" s="30" t="s">
        <v>185</v>
      </c>
      <c r="Y291" s="30" t="s">
        <v>185</v>
      </c>
      <c r="Z291" s="33"/>
      <c r="AA291" s="33"/>
    </row>
    <row r="292">
      <c r="B292" s="10"/>
      <c r="X292" s="30" t="s">
        <v>185</v>
      </c>
      <c r="Y292" s="30" t="s">
        <v>185</v>
      </c>
      <c r="Z292" s="33"/>
      <c r="AA292" s="33"/>
    </row>
    <row r="293">
      <c r="B293" s="10"/>
      <c r="X293" s="30" t="s">
        <v>185</v>
      </c>
      <c r="Y293" s="30" t="s">
        <v>185</v>
      </c>
      <c r="Z293" s="33"/>
      <c r="AA293" s="33"/>
    </row>
    <row r="294">
      <c r="B294" s="10"/>
      <c r="X294" s="30" t="s">
        <v>185</v>
      </c>
      <c r="Y294" s="30" t="s">
        <v>185</v>
      </c>
      <c r="Z294" s="33"/>
      <c r="AA294" s="33"/>
    </row>
    <row r="295">
      <c r="B295" s="10"/>
      <c r="X295" s="30" t="s">
        <v>185</v>
      </c>
      <c r="Y295" s="30" t="s">
        <v>185</v>
      </c>
      <c r="Z295" s="33"/>
      <c r="AA295" s="33"/>
    </row>
    <row r="296">
      <c r="B296" s="10"/>
      <c r="X296" s="30" t="s">
        <v>185</v>
      </c>
      <c r="Y296" s="30" t="s">
        <v>185</v>
      </c>
      <c r="Z296" s="33"/>
      <c r="AA296" s="33"/>
    </row>
    <row r="297">
      <c r="B297" s="10"/>
      <c r="X297" s="30" t="s">
        <v>185</v>
      </c>
      <c r="Y297" s="30" t="s">
        <v>185</v>
      </c>
      <c r="Z297" s="33"/>
      <c r="AA297" s="33"/>
    </row>
    <row r="298">
      <c r="B298" s="10"/>
      <c r="X298" s="30" t="s">
        <v>185</v>
      </c>
      <c r="Y298" s="30" t="s">
        <v>185</v>
      </c>
      <c r="Z298" s="33"/>
      <c r="AA298" s="33"/>
    </row>
    <row r="299">
      <c r="B299" s="10"/>
      <c r="X299" s="30" t="s">
        <v>185</v>
      </c>
      <c r="Y299" s="30" t="s">
        <v>185</v>
      </c>
      <c r="Z299" s="33"/>
      <c r="AA299" s="33"/>
    </row>
    <row r="300">
      <c r="B300" s="10"/>
      <c r="X300" s="30" t="s">
        <v>185</v>
      </c>
      <c r="Y300" s="30" t="s">
        <v>185</v>
      </c>
      <c r="Z300" s="33"/>
      <c r="AA300" s="33"/>
    </row>
    <row r="301">
      <c r="B301" s="10"/>
      <c r="X301" s="30" t="s">
        <v>185</v>
      </c>
      <c r="Y301" s="30" t="s">
        <v>185</v>
      </c>
      <c r="Z301" s="33"/>
      <c r="AA301" s="33"/>
    </row>
    <row r="302">
      <c r="B302" s="10"/>
      <c r="X302" s="30" t="s">
        <v>185</v>
      </c>
      <c r="Y302" s="30" t="s">
        <v>185</v>
      </c>
      <c r="Z302" s="33"/>
      <c r="AA302" s="33"/>
    </row>
    <row r="303">
      <c r="B303" s="10"/>
      <c r="X303" s="30" t="s">
        <v>185</v>
      </c>
      <c r="Y303" s="30" t="s">
        <v>185</v>
      </c>
      <c r="Z303" s="33"/>
      <c r="AA303" s="33"/>
    </row>
    <row r="304">
      <c r="B304" s="10"/>
      <c r="X304" s="30" t="s">
        <v>185</v>
      </c>
      <c r="Y304" s="30" t="s">
        <v>185</v>
      </c>
      <c r="Z304" s="33"/>
      <c r="AA304" s="33"/>
    </row>
    <row r="305">
      <c r="B305" s="10"/>
      <c r="X305" s="30" t="s">
        <v>185</v>
      </c>
      <c r="Y305" s="30" t="s">
        <v>185</v>
      </c>
      <c r="Z305" s="33"/>
      <c r="AA305" s="33"/>
    </row>
    <row r="306">
      <c r="B306" s="10"/>
      <c r="X306" s="30" t="s">
        <v>185</v>
      </c>
      <c r="Y306" s="30" t="s">
        <v>185</v>
      </c>
      <c r="Z306" s="33"/>
      <c r="AA306" s="33"/>
    </row>
    <row r="307">
      <c r="B307" s="10"/>
      <c r="X307" s="30" t="s">
        <v>185</v>
      </c>
      <c r="Y307" s="30" t="s">
        <v>185</v>
      </c>
      <c r="Z307" s="33"/>
      <c r="AA307" s="33"/>
    </row>
    <row r="308">
      <c r="B308" s="10"/>
      <c r="X308" s="30" t="s">
        <v>185</v>
      </c>
      <c r="Y308" s="30" t="s">
        <v>185</v>
      </c>
      <c r="Z308" s="33"/>
      <c r="AA308" s="33"/>
    </row>
    <row r="309">
      <c r="B309" s="10"/>
      <c r="X309" s="30" t="s">
        <v>185</v>
      </c>
      <c r="Y309" s="30" t="s">
        <v>185</v>
      </c>
      <c r="Z309" s="33"/>
      <c r="AA309" s="33"/>
    </row>
    <row r="310">
      <c r="B310" s="10"/>
      <c r="X310" s="30" t="s">
        <v>185</v>
      </c>
      <c r="Y310" s="30" t="s">
        <v>185</v>
      </c>
      <c r="Z310" s="33"/>
      <c r="AA310" s="33"/>
    </row>
    <row r="311">
      <c r="B311" s="10"/>
      <c r="X311" s="30" t="s">
        <v>185</v>
      </c>
      <c r="Y311" s="30" t="s">
        <v>185</v>
      </c>
      <c r="Z311" s="33"/>
      <c r="AA311" s="33"/>
    </row>
    <row r="312">
      <c r="B312" s="10"/>
      <c r="X312" s="30" t="s">
        <v>185</v>
      </c>
      <c r="Y312" s="30" t="s">
        <v>185</v>
      </c>
      <c r="Z312" s="33"/>
      <c r="AA312" s="33"/>
    </row>
    <row r="313">
      <c r="B313" s="10"/>
      <c r="X313" s="30" t="s">
        <v>185</v>
      </c>
      <c r="Y313" s="30" t="s">
        <v>185</v>
      </c>
      <c r="Z313" s="33"/>
      <c r="AA313" s="33"/>
    </row>
    <row r="314">
      <c r="B314" s="10"/>
      <c r="X314" s="30" t="s">
        <v>185</v>
      </c>
      <c r="Y314" s="30" t="s">
        <v>185</v>
      </c>
      <c r="Z314" s="33"/>
      <c r="AA314" s="33"/>
    </row>
    <row r="315">
      <c r="B315" s="10"/>
      <c r="X315" s="30" t="s">
        <v>185</v>
      </c>
      <c r="Y315" s="30" t="s">
        <v>185</v>
      </c>
      <c r="Z315" s="33"/>
      <c r="AA315" s="33"/>
    </row>
    <row r="316">
      <c r="B316" s="10"/>
      <c r="X316" s="30" t="s">
        <v>185</v>
      </c>
      <c r="Y316" s="30" t="s">
        <v>185</v>
      </c>
      <c r="Z316" s="33"/>
      <c r="AA316" s="33"/>
    </row>
    <row r="317">
      <c r="B317" s="10"/>
      <c r="X317" s="30" t="s">
        <v>185</v>
      </c>
      <c r="Y317" s="30" t="s">
        <v>185</v>
      </c>
      <c r="Z317" s="33"/>
      <c r="AA317" s="33"/>
    </row>
    <row r="318">
      <c r="B318" s="10"/>
      <c r="X318" s="30" t="s">
        <v>185</v>
      </c>
      <c r="Y318" s="30" t="s">
        <v>185</v>
      </c>
      <c r="Z318" s="33"/>
      <c r="AA318" s="33"/>
    </row>
    <row r="319">
      <c r="B319" s="10"/>
      <c r="X319" s="30" t="s">
        <v>185</v>
      </c>
      <c r="Y319" s="30" t="s">
        <v>185</v>
      </c>
      <c r="Z319" s="33"/>
      <c r="AA319" s="33"/>
    </row>
    <row r="320">
      <c r="B320" s="10"/>
      <c r="X320" s="30" t="s">
        <v>185</v>
      </c>
      <c r="Y320" s="30" t="s">
        <v>185</v>
      </c>
      <c r="Z320" s="33"/>
      <c r="AA320" s="33"/>
    </row>
    <row r="321">
      <c r="B321" s="10"/>
      <c r="X321" s="30" t="s">
        <v>185</v>
      </c>
      <c r="Y321" s="30" t="s">
        <v>185</v>
      </c>
      <c r="Z321" s="33"/>
      <c r="AA321" s="33"/>
    </row>
    <row r="322">
      <c r="B322" s="10"/>
      <c r="X322" s="30" t="s">
        <v>185</v>
      </c>
      <c r="Y322" s="30" t="s">
        <v>185</v>
      </c>
      <c r="Z322" s="33"/>
      <c r="AA322" s="33"/>
    </row>
    <row r="323">
      <c r="B323" s="10"/>
      <c r="X323" s="30" t="s">
        <v>185</v>
      </c>
      <c r="Y323" s="30" t="s">
        <v>185</v>
      </c>
      <c r="Z323" s="33"/>
      <c r="AA323" s="33"/>
    </row>
    <row r="324">
      <c r="B324" s="10"/>
      <c r="X324" s="30" t="s">
        <v>185</v>
      </c>
      <c r="Y324" s="30" t="s">
        <v>185</v>
      </c>
      <c r="Z324" s="33"/>
      <c r="AA324" s="33"/>
    </row>
    <row r="325">
      <c r="B325" s="10"/>
      <c r="X325" s="30" t="s">
        <v>185</v>
      </c>
      <c r="Y325" s="30" t="s">
        <v>185</v>
      </c>
      <c r="Z325" s="33"/>
      <c r="AA325" s="33"/>
    </row>
    <row r="326">
      <c r="B326" s="10"/>
      <c r="X326" s="30" t="s">
        <v>185</v>
      </c>
      <c r="Y326" s="30" t="s">
        <v>185</v>
      </c>
      <c r="Z326" s="33"/>
      <c r="AA326" s="33"/>
    </row>
    <row r="327">
      <c r="B327" s="10"/>
      <c r="X327" s="30" t="s">
        <v>185</v>
      </c>
      <c r="Y327" s="30" t="s">
        <v>185</v>
      </c>
      <c r="Z327" s="33"/>
      <c r="AA327" s="33"/>
    </row>
    <row r="328">
      <c r="B328" s="10"/>
      <c r="X328" s="30" t="s">
        <v>185</v>
      </c>
      <c r="Y328" s="30" t="s">
        <v>185</v>
      </c>
      <c r="Z328" s="33"/>
      <c r="AA328" s="33"/>
    </row>
    <row r="329">
      <c r="B329" s="10"/>
      <c r="X329" s="30" t="s">
        <v>185</v>
      </c>
      <c r="Y329" s="30" t="s">
        <v>185</v>
      </c>
      <c r="Z329" s="33"/>
      <c r="AA329" s="33"/>
    </row>
    <row r="330">
      <c r="B330" s="10"/>
      <c r="X330" s="30" t="s">
        <v>185</v>
      </c>
      <c r="Y330" s="30" t="s">
        <v>185</v>
      </c>
      <c r="Z330" s="33"/>
      <c r="AA330" s="33"/>
    </row>
    <row r="331">
      <c r="B331" s="10"/>
      <c r="X331" s="30" t="s">
        <v>185</v>
      </c>
      <c r="Y331" s="30" t="s">
        <v>185</v>
      </c>
      <c r="Z331" s="33"/>
      <c r="AA331" s="33"/>
    </row>
    <row r="332">
      <c r="B332" s="10"/>
      <c r="X332" s="30" t="s">
        <v>185</v>
      </c>
      <c r="Y332" s="30" t="s">
        <v>185</v>
      </c>
      <c r="Z332" s="33"/>
      <c r="AA332" s="33"/>
    </row>
    <row r="333">
      <c r="B333" s="10"/>
      <c r="X333" s="30" t="s">
        <v>185</v>
      </c>
      <c r="Y333" s="30" t="s">
        <v>185</v>
      </c>
      <c r="Z333" s="33"/>
      <c r="AA333" s="33"/>
    </row>
    <row r="334">
      <c r="B334" s="10"/>
      <c r="X334" s="30" t="s">
        <v>185</v>
      </c>
      <c r="Y334" s="30" t="s">
        <v>185</v>
      </c>
      <c r="Z334" s="33"/>
      <c r="AA334" s="33"/>
    </row>
    <row r="335">
      <c r="B335" s="10"/>
      <c r="X335" s="30" t="s">
        <v>185</v>
      </c>
      <c r="Y335" s="30" t="s">
        <v>185</v>
      </c>
      <c r="Z335" s="33"/>
      <c r="AA335" s="33"/>
    </row>
    <row r="336">
      <c r="B336" s="10"/>
      <c r="X336" s="30" t="s">
        <v>185</v>
      </c>
      <c r="Y336" s="30" t="s">
        <v>185</v>
      </c>
      <c r="Z336" s="33"/>
      <c r="AA336" s="33"/>
    </row>
    <row r="337">
      <c r="B337" s="10"/>
      <c r="X337" s="30" t="s">
        <v>185</v>
      </c>
      <c r="Y337" s="30" t="s">
        <v>185</v>
      </c>
      <c r="Z337" s="33"/>
      <c r="AA337" s="33"/>
    </row>
    <row r="338">
      <c r="B338" s="10"/>
      <c r="X338" s="30" t="s">
        <v>185</v>
      </c>
      <c r="Y338" s="30" t="s">
        <v>185</v>
      </c>
      <c r="Z338" s="33"/>
      <c r="AA338" s="33"/>
    </row>
    <row r="339">
      <c r="B339" s="10"/>
      <c r="X339" s="30" t="s">
        <v>185</v>
      </c>
      <c r="Y339" s="30" t="s">
        <v>185</v>
      </c>
      <c r="Z339" s="33"/>
      <c r="AA339" s="33"/>
    </row>
    <row r="340">
      <c r="B340" s="10"/>
      <c r="X340" s="30" t="s">
        <v>185</v>
      </c>
      <c r="Y340" s="30" t="s">
        <v>185</v>
      </c>
      <c r="Z340" s="33"/>
      <c r="AA340" s="33"/>
    </row>
    <row r="341">
      <c r="B341" s="10"/>
      <c r="X341" s="30" t="s">
        <v>185</v>
      </c>
      <c r="Y341" s="30" t="s">
        <v>185</v>
      </c>
      <c r="Z341" s="33"/>
      <c r="AA341" s="33"/>
    </row>
    <row r="342">
      <c r="B342" s="10"/>
      <c r="X342" s="30" t="s">
        <v>185</v>
      </c>
      <c r="Y342" s="30" t="s">
        <v>185</v>
      </c>
      <c r="Z342" s="33"/>
      <c r="AA342" s="33"/>
    </row>
    <row r="343">
      <c r="B343" s="10"/>
      <c r="X343" s="30" t="s">
        <v>185</v>
      </c>
      <c r="Y343" s="30" t="s">
        <v>185</v>
      </c>
      <c r="Z343" s="33"/>
      <c r="AA343" s="33"/>
    </row>
    <row r="344">
      <c r="B344" s="10"/>
      <c r="X344" s="30" t="s">
        <v>185</v>
      </c>
      <c r="Y344" s="30" t="s">
        <v>185</v>
      </c>
      <c r="Z344" s="33"/>
      <c r="AA344" s="33"/>
    </row>
    <row r="345">
      <c r="B345" s="10"/>
      <c r="X345" s="30" t="s">
        <v>185</v>
      </c>
      <c r="Y345" s="30" t="s">
        <v>185</v>
      </c>
      <c r="Z345" s="33"/>
      <c r="AA345" s="33"/>
    </row>
    <row r="346">
      <c r="B346" s="10"/>
      <c r="X346" s="30" t="s">
        <v>185</v>
      </c>
      <c r="Y346" s="30" t="s">
        <v>185</v>
      </c>
      <c r="Z346" s="33"/>
      <c r="AA346" s="33"/>
    </row>
    <row r="347">
      <c r="B347" s="10"/>
      <c r="X347" s="30" t="s">
        <v>185</v>
      </c>
      <c r="Y347" s="30" t="s">
        <v>185</v>
      </c>
      <c r="Z347" s="33"/>
      <c r="AA347" s="33"/>
    </row>
    <row r="348">
      <c r="B348" s="10"/>
      <c r="X348" s="30" t="s">
        <v>185</v>
      </c>
      <c r="Y348" s="30" t="s">
        <v>185</v>
      </c>
      <c r="Z348" s="33"/>
      <c r="AA348" s="33"/>
    </row>
    <row r="349">
      <c r="B349" s="10"/>
      <c r="X349" s="30" t="s">
        <v>185</v>
      </c>
      <c r="Y349" s="30" t="s">
        <v>185</v>
      </c>
      <c r="Z349" s="33"/>
      <c r="AA349" s="33"/>
    </row>
    <row r="350">
      <c r="B350" s="10"/>
      <c r="X350" s="30" t="s">
        <v>185</v>
      </c>
      <c r="Y350" s="30" t="s">
        <v>185</v>
      </c>
      <c r="Z350" s="33"/>
      <c r="AA350" s="33"/>
    </row>
    <row r="351">
      <c r="B351" s="10"/>
      <c r="X351" s="30" t="s">
        <v>185</v>
      </c>
      <c r="Y351" s="30" t="s">
        <v>185</v>
      </c>
      <c r="Z351" s="33"/>
      <c r="AA351" s="33"/>
    </row>
    <row r="352">
      <c r="B352" s="10"/>
      <c r="X352" s="30" t="s">
        <v>185</v>
      </c>
      <c r="Y352" s="30" t="s">
        <v>185</v>
      </c>
      <c r="Z352" s="33"/>
      <c r="AA352" s="33"/>
    </row>
    <row r="353">
      <c r="B353" s="10"/>
      <c r="X353" s="30" t="s">
        <v>185</v>
      </c>
      <c r="Y353" s="30" t="s">
        <v>185</v>
      </c>
      <c r="Z353" s="33"/>
      <c r="AA353" s="33"/>
    </row>
    <row r="354">
      <c r="B354" s="10"/>
      <c r="X354" s="30" t="s">
        <v>185</v>
      </c>
      <c r="Y354" s="30" t="s">
        <v>185</v>
      </c>
      <c r="Z354" s="33"/>
      <c r="AA354" s="33"/>
    </row>
    <row r="355">
      <c r="B355" s="10"/>
      <c r="X355" s="30" t="s">
        <v>185</v>
      </c>
      <c r="Y355" s="30" t="s">
        <v>185</v>
      </c>
      <c r="Z355" s="33"/>
      <c r="AA355" s="33"/>
    </row>
    <row r="356">
      <c r="B356" s="10"/>
      <c r="X356" s="30" t="s">
        <v>185</v>
      </c>
      <c r="Y356" s="30" t="s">
        <v>185</v>
      </c>
      <c r="Z356" s="33"/>
      <c r="AA356" s="33"/>
    </row>
    <row r="357">
      <c r="B357" s="10"/>
      <c r="X357" s="30" t="s">
        <v>185</v>
      </c>
      <c r="Y357" s="30" t="s">
        <v>185</v>
      </c>
      <c r="Z357" s="33"/>
      <c r="AA357" s="33"/>
    </row>
    <row r="358">
      <c r="B358" s="10"/>
      <c r="X358" s="30" t="s">
        <v>185</v>
      </c>
      <c r="Y358" s="30" t="s">
        <v>185</v>
      </c>
      <c r="Z358" s="33"/>
      <c r="AA358" s="33"/>
    </row>
    <row r="359">
      <c r="B359" s="10"/>
      <c r="X359" s="30" t="s">
        <v>185</v>
      </c>
      <c r="Y359" s="30" t="s">
        <v>185</v>
      </c>
      <c r="Z359" s="33"/>
      <c r="AA359" s="33"/>
    </row>
    <row r="360">
      <c r="B360" s="10"/>
      <c r="X360" s="30" t="s">
        <v>185</v>
      </c>
      <c r="Y360" s="30" t="s">
        <v>185</v>
      </c>
      <c r="Z360" s="33"/>
      <c r="AA360" s="33"/>
    </row>
    <row r="361">
      <c r="B361" s="10"/>
      <c r="X361" s="30" t="s">
        <v>185</v>
      </c>
      <c r="Y361" s="30" t="s">
        <v>185</v>
      </c>
      <c r="Z361" s="33"/>
      <c r="AA361" s="33"/>
    </row>
    <row r="362">
      <c r="B362" s="10"/>
      <c r="X362" s="30" t="s">
        <v>185</v>
      </c>
      <c r="Y362" s="30" t="s">
        <v>185</v>
      </c>
      <c r="Z362" s="33"/>
      <c r="AA362" s="33"/>
    </row>
    <row r="363">
      <c r="B363" s="10"/>
      <c r="X363" s="30" t="s">
        <v>185</v>
      </c>
      <c r="Y363" s="30" t="s">
        <v>185</v>
      </c>
      <c r="Z363" s="33"/>
      <c r="AA363" s="33"/>
    </row>
    <row r="364">
      <c r="B364" s="10"/>
      <c r="X364" s="30" t="s">
        <v>185</v>
      </c>
      <c r="Y364" s="30" t="s">
        <v>185</v>
      </c>
      <c r="Z364" s="33"/>
      <c r="AA364" s="33"/>
    </row>
    <row r="365">
      <c r="B365" s="10"/>
      <c r="X365" s="30" t="s">
        <v>185</v>
      </c>
      <c r="Y365" s="30" t="s">
        <v>185</v>
      </c>
      <c r="Z365" s="33"/>
      <c r="AA365" s="33"/>
    </row>
    <row r="366">
      <c r="B366" s="10"/>
      <c r="X366" s="30" t="s">
        <v>185</v>
      </c>
      <c r="Y366" s="30" t="s">
        <v>185</v>
      </c>
      <c r="Z366" s="33"/>
      <c r="AA366" s="33"/>
    </row>
    <row r="367">
      <c r="B367" s="10"/>
      <c r="X367" s="30" t="s">
        <v>185</v>
      </c>
      <c r="Y367" s="30" t="s">
        <v>185</v>
      </c>
      <c r="Z367" s="33"/>
      <c r="AA367" s="33"/>
    </row>
    <row r="368">
      <c r="B368" s="10"/>
      <c r="X368" s="30" t="s">
        <v>185</v>
      </c>
      <c r="Y368" s="30" t="s">
        <v>185</v>
      </c>
      <c r="Z368" s="33"/>
      <c r="AA368" s="33"/>
    </row>
    <row r="369">
      <c r="B369" s="10"/>
      <c r="X369" s="30" t="s">
        <v>185</v>
      </c>
      <c r="Y369" s="30" t="s">
        <v>185</v>
      </c>
      <c r="Z369" s="33"/>
      <c r="AA369" s="33"/>
    </row>
    <row r="370">
      <c r="B370" s="10"/>
      <c r="X370" s="30" t="s">
        <v>185</v>
      </c>
      <c r="Y370" s="30" t="s">
        <v>185</v>
      </c>
      <c r="Z370" s="33"/>
      <c r="AA370" s="33"/>
    </row>
    <row r="371">
      <c r="B371" s="10"/>
      <c r="X371" s="30" t="s">
        <v>185</v>
      </c>
      <c r="Y371" s="30" t="s">
        <v>185</v>
      </c>
      <c r="Z371" s="33"/>
      <c r="AA371" s="33"/>
    </row>
    <row r="372">
      <c r="B372" s="10"/>
      <c r="X372" s="30" t="s">
        <v>185</v>
      </c>
      <c r="Y372" s="30" t="s">
        <v>185</v>
      </c>
      <c r="Z372" s="33"/>
      <c r="AA372" s="33"/>
    </row>
    <row r="373">
      <c r="B373" s="10"/>
      <c r="X373" s="30" t="s">
        <v>185</v>
      </c>
      <c r="Y373" s="30" t="s">
        <v>185</v>
      </c>
      <c r="Z373" s="33"/>
      <c r="AA373" s="33"/>
    </row>
    <row r="374">
      <c r="B374" s="10"/>
      <c r="X374" s="30" t="s">
        <v>185</v>
      </c>
      <c r="Y374" s="30" t="s">
        <v>185</v>
      </c>
      <c r="Z374" s="33"/>
      <c r="AA374" s="33"/>
    </row>
    <row r="375">
      <c r="B375" s="10"/>
      <c r="X375" s="30" t="s">
        <v>185</v>
      </c>
      <c r="Y375" s="30" t="s">
        <v>185</v>
      </c>
      <c r="Z375" s="33"/>
      <c r="AA375" s="33"/>
    </row>
    <row r="376">
      <c r="B376" s="10"/>
      <c r="X376" s="30" t="s">
        <v>185</v>
      </c>
      <c r="Y376" s="30" t="s">
        <v>185</v>
      </c>
      <c r="Z376" s="33"/>
      <c r="AA376" s="33"/>
    </row>
    <row r="377">
      <c r="B377" s="10"/>
      <c r="X377" s="30" t="s">
        <v>185</v>
      </c>
      <c r="Y377" s="30" t="s">
        <v>185</v>
      </c>
      <c r="Z377" s="33"/>
      <c r="AA377" s="33"/>
    </row>
    <row r="378">
      <c r="B378" s="10"/>
      <c r="X378" s="30" t="s">
        <v>185</v>
      </c>
      <c r="Y378" s="30" t="s">
        <v>185</v>
      </c>
      <c r="Z378" s="33"/>
      <c r="AA378" s="33"/>
    </row>
    <row r="379">
      <c r="B379" s="10"/>
      <c r="X379" s="30" t="s">
        <v>185</v>
      </c>
      <c r="Y379" s="30" t="s">
        <v>185</v>
      </c>
      <c r="Z379" s="33"/>
      <c r="AA379" s="33"/>
    </row>
    <row r="380">
      <c r="B380" s="10"/>
      <c r="X380" s="30" t="s">
        <v>185</v>
      </c>
      <c r="Y380" s="30" t="s">
        <v>185</v>
      </c>
      <c r="Z380" s="33"/>
      <c r="AA380" s="33"/>
    </row>
    <row r="381">
      <c r="B381" s="10"/>
      <c r="X381" s="30" t="s">
        <v>185</v>
      </c>
      <c r="Y381" s="30" t="s">
        <v>185</v>
      </c>
      <c r="Z381" s="33"/>
      <c r="AA381" s="33"/>
    </row>
    <row r="382">
      <c r="B382" s="10"/>
      <c r="X382" s="30" t="s">
        <v>185</v>
      </c>
      <c r="Y382" s="30" t="s">
        <v>185</v>
      </c>
      <c r="Z382" s="33"/>
      <c r="AA382" s="33"/>
    </row>
    <row r="383">
      <c r="B383" s="10"/>
      <c r="X383" s="30" t="s">
        <v>185</v>
      </c>
      <c r="Y383" s="30" t="s">
        <v>185</v>
      </c>
      <c r="Z383" s="33"/>
      <c r="AA383" s="33"/>
    </row>
    <row r="384">
      <c r="B384" s="10"/>
      <c r="X384" s="30" t="s">
        <v>185</v>
      </c>
      <c r="Y384" s="30" t="s">
        <v>185</v>
      </c>
      <c r="Z384" s="33"/>
      <c r="AA384" s="33"/>
    </row>
    <row r="385">
      <c r="B385" s="10"/>
      <c r="X385" s="30" t="s">
        <v>185</v>
      </c>
      <c r="Y385" s="30" t="s">
        <v>185</v>
      </c>
      <c r="Z385" s="33"/>
      <c r="AA385" s="33"/>
    </row>
    <row r="386">
      <c r="B386" s="10"/>
      <c r="X386" s="30" t="s">
        <v>185</v>
      </c>
      <c r="Y386" s="30" t="s">
        <v>185</v>
      </c>
      <c r="Z386" s="33"/>
      <c r="AA386" s="33"/>
    </row>
    <row r="387">
      <c r="B387" s="10"/>
      <c r="X387" s="30" t="s">
        <v>185</v>
      </c>
      <c r="Y387" s="30" t="s">
        <v>185</v>
      </c>
      <c r="Z387" s="33"/>
      <c r="AA387" s="33"/>
    </row>
    <row r="388">
      <c r="B388" s="10"/>
      <c r="X388" s="30" t="s">
        <v>185</v>
      </c>
      <c r="Y388" s="30" t="s">
        <v>185</v>
      </c>
      <c r="Z388" s="33"/>
      <c r="AA388" s="33"/>
    </row>
    <row r="389">
      <c r="B389" s="10"/>
      <c r="X389" s="30" t="s">
        <v>185</v>
      </c>
      <c r="Y389" s="30" t="s">
        <v>185</v>
      </c>
      <c r="Z389" s="33"/>
      <c r="AA389" s="33"/>
    </row>
    <row r="390">
      <c r="B390" s="10"/>
      <c r="X390" s="30" t="s">
        <v>185</v>
      </c>
      <c r="Y390" s="30" t="s">
        <v>185</v>
      </c>
      <c r="Z390" s="33"/>
      <c r="AA390" s="33"/>
    </row>
    <row r="391">
      <c r="B391" s="10"/>
      <c r="X391" s="30" t="s">
        <v>185</v>
      </c>
      <c r="Y391" s="30" t="s">
        <v>185</v>
      </c>
      <c r="Z391" s="33"/>
      <c r="AA391" s="33"/>
    </row>
    <row r="392">
      <c r="B392" s="10"/>
      <c r="X392" s="30" t="s">
        <v>185</v>
      </c>
      <c r="Y392" s="30" t="s">
        <v>185</v>
      </c>
      <c r="Z392" s="33"/>
      <c r="AA392" s="33"/>
    </row>
    <row r="393">
      <c r="B393" s="10"/>
      <c r="X393" s="30" t="s">
        <v>185</v>
      </c>
      <c r="Y393" s="30" t="s">
        <v>185</v>
      </c>
      <c r="Z393" s="33"/>
      <c r="AA393" s="33"/>
    </row>
    <row r="394">
      <c r="B394" s="10"/>
      <c r="X394" s="30" t="s">
        <v>185</v>
      </c>
      <c r="Y394" s="30" t="s">
        <v>185</v>
      </c>
      <c r="Z394" s="33"/>
      <c r="AA394" s="33"/>
    </row>
    <row r="395">
      <c r="B395" s="10"/>
      <c r="X395" s="30" t="s">
        <v>185</v>
      </c>
      <c r="Y395" s="30" t="s">
        <v>185</v>
      </c>
      <c r="Z395" s="33"/>
      <c r="AA395" s="33"/>
    </row>
    <row r="396">
      <c r="B396" s="10"/>
      <c r="X396" s="30" t="s">
        <v>185</v>
      </c>
      <c r="Y396" s="30" t="s">
        <v>185</v>
      </c>
      <c r="Z396" s="33"/>
      <c r="AA396" s="33"/>
    </row>
    <row r="397">
      <c r="B397" s="10"/>
      <c r="X397" s="30" t="s">
        <v>185</v>
      </c>
      <c r="Y397" s="30" t="s">
        <v>185</v>
      </c>
      <c r="Z397" s="33"/>
      <c r="AA397" s="33"/>
    </row>
    <row r="398">
      <c r="B398" s="10"/>
      <c r="X398" s="30" t="s">
        <v>185</v>
      </c>
      <c r="Y398" s="30" t="s">
        <v>185</v>
      </c>
      <c r="Z398" s="33"/>
      <c r="AA398" s="33"/>
    </row>
    <row r="399">
      <c r="B399" s="10"/>
      <c r="X399" s="30" t="s">
        <v>185</v>
      </c>
      <c r="Y399" s="30" t="s">
        <v>185</v>
      </c>
      <c r="Z399" s="33"/>
      <c r="AA399" s="33"/>
    </row>
    <row r="400">
      <c r="B400" s="10"/>
      <c r="X400" s="30" t="s">
        <v>185</v>
      </c>
      <c r="Y400" s="30" t="s">
        <v>185</v>
      </c>
      <c r="Z400" s="33"/>
      <c r="AA400" s="33"/>
    </row>
    <row r="401">
      <c r="B401" s="10"/>
      <c r="X401" s="30" t="s">
        <v>185</v>
      </c>
      <c r="Y401" s="30" t="s">
        <v>185</v>
      </c>
      <c r="Z401" s="33"/>
      <c r="AA401" s="33"/>
    </row>
    <row r="402">
      <c r="B402" s="10"/>
      <c r="X402" s="30" t="s">
        <v>185</v>
      </c>
      <c r="Y402" s="30" t="s">
        <v>185</v>
      </c>
      <c r="Z402" s="33"/>
      <c r="AA402" s="33"/>
    </row>
    <row r="403">
      <c r="B403" s="10"/>
      <c r="X403" s="30" t="s">
        <v>185</v>
      </c>
      <c r="Y403" s="30" t="s">
        <v>185</v>
      </c>
      <c r="Z403" s="33"/>
      <c r="AA403" s="33"/>
    </row>
    <row r="404">
      <c r="B404" s="10"/>
      <c r="X404" s="30" t="s">
        <v>185</v>
      </c>
      <c r="Y404" s="30" t="s">
        <v>185</v>
      </c>
      <c r="Z404" s="33"/>
      <c r="AA404" s="33"/>
    </row>
    <row r="405">
      <c r="B405" s="10"/>
      <c r="X405" s="30" t="s">
        <v>185</v>
      </c>
      <c r="Y405" s="30" t="s">
        <v>185</v>
      </c>
      <c r="Z405" s="33"/>
      <c r="AA405" s="33"/>
    </row>
    <row r="406">
      <c r="B406" s="10"/>
      <c r="X406" s="30" t="s">
        <v>185</v>
      </c>
      <c r="Y406" s="30" t="s">
        <v>185</v>
      </c>
      <c r="Z406" s="33"/>
      <c r="AA406" s="33"/>
    </row>
    <row r="407">
      <c r="B407" s="10"/>
      <c r="X407" s="30" t="s">
        <v>185</v>
      </c>
      <c r="Y407" s="30" t="s">
        <v>185</v>
      </c>
      <c r="Z407" s="33"/>
      <c r="AA407" s="33"/>
    </row>
    <row r="408">
      <c r="B408" s="10"/>
      <c r="X408" s="30" t="s">
        <v>185</v>
      </c>
      <c r="Y408" s="30" t="s">
        <v>185</v>
      </c>
      <c r="Z408" s="33"/>
      <c r="AA408" s="33"/>
    </row>
    <row r="409">
      <c r="B409" s="10"/>
      <c r="X409" s="30" t="s">
        <v>185</v>
      </c>
      <c r="Y409" s="30" t="s">
        <v>185</v>
      </c>
      <c r="Z409" s="33"/>
      <c r="AA409" s="33"/>
    </row>
    <row r="410">
      <c r="B410" s="10"/>
      <c r="X410" s="30" t="s">
        <v>185</v>
      </c>
      <c r="Y410" s="30" t="s">
        <v>185</v>
      </c>
      <c r="Z410" s="33"/>
      <c r="AA410" s="33"/>
    </row>
    <row r="411">
      <c r="B411" s="10"/>
      <c r="X411" s="30" t="s">
        <v>185</v>
      </c>
      <c r="Y411" s="30" t="s">
        <v>185</v>
      </c>
      <c r="Z411" s="33"/>
      <c r="AA411" s="33"/>
    </row>
    <row r="412">
      <c r="B412" s="10"/>
      <c r="X412" s="30" t="s">
        <v>185</v>
      </c>
      <c r="Y412" s="30" t="s">
        <v>185</v>
      </c>
      <c r="Z412" s="33"/>
      <c r="AA412" s="33"/>
    </row>
    <row r="413">
      <c r="B413" s="10"/>
      <c r="X413" s="30" t="s">
        <v>185</v>
      </c>
      <c r="Y413" s="30" t="s">
        <v>185</v>
      </c>
      <c r="Z413" s="33"/>
      <c r="AA413" s="33"/>
    </row>
    <row r="414">
      <c r="B414" s="10"/>
      <c r="X414" s="30" t="s">
        <v>185</v>
      </c>
      <c r="Y414" s="30" t="s">
        <v>185</v>
      </c>
      <c r="Z414" s="33"/>
      <c r="AA414" s="33"/>
    </row>
    <row r="415">
      <c r="B415" s="10"/>
      <c r="X415" s="30" t="s">
        <v>185</v>
      </c>
      <c r="Y415" s="30" t="s">
        <v>185</v>
      </c>
      <c r="Z415" s="33"/>
      <c r="AA415" s="33"/>
    </row>
    <row r="416">
      <c r="B416" s="10"/>
      <c r="X416" s="30" t="s">
        <v>185</v>
      </c>
      <c r="Y416" s="30" t="s">
        <v>185</v>
      </c>
      <c r="Z416" s="33"/>
      <c r="AA416" s="33"/>
    </row>
    <row r="417">
      <c r="B417" s="10"/>
      <c r="X417" s="30" t="s">
        <v>185</v>
      </c>
      <c r="Y417" s="30" t="s">
        <v>185</v>
      </c>
      <c r="Z417" s="33"/>
      <c r="AA417" s="33"/>
    </row>
    <row r="418">
      <c r="B418" s="10"/>
      <c r="X418" s="30" t="s">
        <v>185</v>
      </c>
      <c r="Y418" s="30" t="s">
        <v>185</v>
      </c>
      <c r="Z418" s="33"/>
      <c r="AA418" s="33"/>
    </row>
    <row r="419">
      <c r="B419" s="10"/>
      <c r="X419" s="30" t="s">
        <v>185</v>
      </c>
      <c r="Y419" s="30" t="s">
        <v>185</v>
      </c>
      <c r="Z419" s="33"/>
      <c r="AA419" s="33"/>
    </row>
    <row r="420">
      <c r="B420" s="10"/>
      <c r="X420" s="30" t="s">
        <v>185</v>
      </c>
      <c r="Y420" s="30" t="s">
        <v>185</v>
      </c>
      <c r="Z420" s="33"/>
      <c r="AA420" s="33"/>
    </row>
    <row r="421">
      <c r="B421" s="10"/>
      <c r="X421" s="30" t="s">
        <v>185</v>
      </c>
      <c r="Y421" s="30" t="s">
        <v>185</v>
      </c>
      <c r="Z421" s="33"/>
      <c r="AA421" s="33"/>
    </row>
    <row r="422">
      <c r="B422" s="10"/>
      <c r="X422" s="30" t="s">
        <v>185</v>
      </c>
      <c r="Y422" s="30" t="s">
        <v>185</v>
      </c>
      <c r="Z422" s="33"/>
      <c r="AA422" s="33"/>
    </row>
    <row r="423">
      <c r="B423" s="10"/>
      <c r="X423" s="30" t="s">
        <v>185</v>
      </c>
      <c r="Y423" s="30" t="s">
        <v>185</v>
      </c>
      <c r="Z423" s="33"/>
      <c r="AA423" s="33"/>
    </row>
    <row r="424">
      <c r="B424" s="10"/>
      <c r="X424" s="30" t="s">
        <v>185</v>
      </c>
      <c r="Y424" s="30" t="s">
        <v>185</v>
      </c>
      <c r="Z424" s="33"/>
      <c r="AA424" s="33"/>
    </row>
    <row r="425">
      <c r="B425" s="10"/>
      <c r="X425" s="30" t="s">
        <v>185</v>
      </c>
      <c r="Y425" s="30" t="s">
        <v>185</v>
      </c>
      <c r="Z425" s="33"/>
      <c r="AA425" s="33"/>
    </row>
    <row r="426">
      <c r="B426" s="10"/>
      <c r="X426" s="30" t="s">
        <v>185</v>
      </c>
      <c r="Y426" s="30" t="s">
        <v>185</v>
      </c>
      <c r="Z426" s="33"/>
      <c r="AA426" s="33"/>
    </row>
    <row r="427">
      <c r="B427" s="10"/>
      <c r="X427" s="30" t="s">
        <v>185</v>
      </c>
      <c r="Y427" s="30" t="s">
        <v>185</v>
      </c>
      <c r="Z427" s="33"/>
      <c r="AA427" s="33"/>
    </row>
    <row r="428">
      <c r="B428" s="10"/>
      <c r="X428" s="30" t="s">
        <v>185</v>
      </c>
      <c r="Y428" s="30" t="s">
        <v>185</v>
      </c>
      <c r="Z428" s="33"/>
      <c r="AA428" s="33"/>
    </row>
    <row r="429">
      <c r="B429" s="10"/>
      <c r="X429" s="30" t="s">
        <v>185</v>
      </c>
      <c r="Y429" s="30" t="s">
        <v>185</v>
      </c>
      <c r="Z429" s="33"/>
      <c r="AA429" s="33"/>
    </row>
    <row r="430">
      <c r="B430" s="10"/>
      <c r="X430" s="30" t="s">
        <v>185</v>
      </c>
      <c r="Y430" s="30" t="s">
        <v>185</v>
      </c>
      <c r="Z430" s="33"/>
      <c r="AA430" s="33"/>
    </row>
    <row r="431">
      <c r="B431" s="10"/>
      <c r="X431" s="30" t="s">
        <v>185</v>
      </c>
      <c r="Y431" s="30" t="s">
        <v>185</v>
      </c>
      <c r="Z431" s="33"/>
      <c r="AA431" s="33"/>
    </row>
    <row r="432">
      <c r="B432" s="10"/>
      <c r="X432" s="30" t="s">
        <v>185</v>
      </c>
      <c r="Y432" s="30" t="s">
        <v>185</v>
      </c>
      <c r="Z432" s="33"/>
      <c r="AA432" s="33"/>
    </row>
    <row r="433">
      <c r="B433" s="10"/>
      <c r="X433" s="30" t="s">
        <v>185</v>
      </c>
      <c r="Y433" s="30" t="s">
        <v>185</v>
      </c>
      <c r="Z433" s="33"/>
      <c r="AA433" s="33"/>
    </row>
    <row r="434">
      <c r="B434" s="10"/>
      <c r="X434" s="30" t="s">
        <v>185</v>
      </c>
      <c r="Y434" s="30" t="s">
        <v>185</v>
      </c>
      <c r="Z434" s="33"/>
      <c r="AA434" s="33"/>
    </row>
    <row r="435">
      <c r="B435" s="10"/>
      <c r="X435" s="30" t="s">
        <v>185</v>
      </c>
      <c r="Y435" s="30" t="s">
        <v>185</v>
      </c>
      <c r="Z435" s="33"/>
      <c r="AA435" s="33"/>
    </row>
    <row r="436">
      <c r="B436" s="10"/>
      <c r="X436" s="30" t="s">
        <v>185</v>
      </c>
      <c r="Y436" s="30" t="s">
        <v>185</v>
      </c>
      <c r="Z436" s="33"/>
      <c r="AA436" s="33"/>
    </row>
    <row r="437">
      <c r="B437" s="10"/>
      <c r="X437" s="30" t="s">
        <v>185</v>
      </c>
      <c r="Y437" s="30" t="s">
        <v>185</v>
      </c>
      <c r="Z437" s="33"/>
      <c r="AA437" s="33"/>
    </row>
    <row r="438">
      <c r="B438" s="10"/>
      <c r="X438" s="30" t="s">
        <v>185</v>
      </c>
      <c r="Y438" s="30" t="s">
        <v>185</v>
      </c>
      <c r="Z438" s="33"/>
      <c r="AA438" s="33"/>
    </row>
    <row r="439">
      <c r="B439" s="10"/>
      <c r="X439" s="30" t="s">
        <v>185</v>
      </c>
      <c r="Y439" s="30" t="s">
        <v>185</v>
      </c>
      <c r="Z439" s="33"/>
      <c r="AA439" s="33"/>
    </row>
    <row r="440">
      <c r="B440" s="10"/>
      <c r="X440" s="30" t="s">
        <v>185</v>
      </c>
      <c r="Y440" s="30" t="s">
        <v>185</v>
      </c>
      <c r="Z440" s="33"/>
      <c r="AA440" s="33"/>
    </row>
    <row r="441">
      <c r="B441" s="10"/>
      <c r="X441" s="30" t="s">
        <v>185</v>
      </c>
      <c r="Y441" s="30" t="s">
        <v>185</v>
      </c>
      <c r="Z441" s="33"/>
      <c r="AA441" s="33"/>
    </row>
    <row r="442">
      <c r="B442" s="10"/>
      <c r="X442" s="30" t="s">
        <v>185</v>
      </c>
      <c r="Y442" s="30" t="s">
        <v>185</v>
      </c>
      <c r="Z442" s="33"/>
      <c r="AA442" s="33"/>
    </row>
    <row r="443">
      <c r="B443" s="10"/>
      <c r="X443" s="30" t="s">
        <v>185</v>
      </c>
      <c r="Y443" s="30" t="s">
        <v>185</v>
      </c>
      <c r="Z443" s="33"/>
      <c r="AA443" s="33"/>
    </row>
    <row r="444">
      <c r="B444" s="10"/>
      <c r="X444" s="30" t="s">
        <v>185</v>
      </c>
      <c r="Y444" s="30" t="s">
        <v>185</v>
      </c>
      <c r="Z444" s="33"/>
      <c r="AA444" s="33"/>
    </row>
    <row r="445">
      <c r="B445" s="10"/>
      <c r="X445" s="30" t="s">
        <v>185</v>
      </c>
      <c r="Y445" s="30" t="s">
        <v>185</v>
      </c>
      <c r="Z445" s="33"/>
      <c r="AA445" s="33"/>
    </row>
    <row r="446">
      <c r="B446" s="10"/>
      <c r="X446" s="30" t="s">
        <v>185</v>
      </c>
      <c r="Y446" s="30" t="s">
        <v>185</v>
      </c>
      <c r="Z446" s="33"/>
      <c r="AA446" s="33"/>
    </row>
    <row r="447">
      <c r="B447" s="10"/>
      <c r="X447" s="30" t="s">
        <v>185</v>
      </c>
      <c r="Y447" s="30" t="s">
        <v>185</v>
      </c>
      <c r="Z447" s="33"/>
      <c r="AA447" s="33"/>
    </row>
    <row r="448">
      <c r="B448" s="10"/>
      <c r="X448" s="30" t="s">
        <v>185</v>
      </c>
      <c r="Y448" s="30" t="s">
        <v>185</v>
      </c>
      <c r="Z448" s="33"/>
      <c r="AA448" s="33"/>
    </row>
    <row r="449">
      <c r="B449" s="10"/>
      <c r="X449" s="30" t="s">
        <v>185</v>
      </c>
      <c r="Y449" s="30" t="s">
        <v>185</v>
      </c>
      <c r="Z449" s="33"/>
      <c r="AA449" s="33"/>
    </row>
    <row r="450">
      <c r="B450" s="10"/>
      <c r="X450" s="30" t="s">
        <v>185</v>
      </c>
      <c r="Y450" s="30" t="s">
        <v>185</v>
      </c>
      <c r="Z450" s="33"/>
      <c r="AA450" s="33"/>
    </row>
    <row r="451">
      <c r="B451" s="10"/>
      <c r="X451" s="30" t="s">
        <v>185</v>
      </c>
      <c r="Y451" s="30" t="s">
        <v>185</v>
      </c>
      <c r="Z451" s="33"/>
      <c r="AA451" s="33"/>
    </row>
    <row r="452">
      <c r="B452" s="10"/>
      <c r="X452" s="30" t="s">
        <v>185</v>
      </c>
      <c r="Y452" s="30" t="s">
        <v>185</v>
      </c>
      <c r="Z452" s="33"/>
      <c r="AA452" s="33"/>
    </row>
    <row r="453">
      <c r="B453" s="10"/>
      <c r="X453" s="30" t="s">
        <v>185</v>
      </c>
      <c r="Y453" s="30" t="s">
        <v>185</v>
      </c>
      <c r="Z453" s="33"/>
      <c r="AA453" s="33"/>
    </row>
    <row r="454">
      <c r="B454" s="10"/>
      <c r="X454" s="30" t="s">
        <v>185</v>
      </c>
      <c r="Y454" s="30" t="s">
        <v>185</v>
      </c>
      <c r="Z454" s="33"/>
      <c r="AA454" s="33"/>
    </row>
    <row r="455">
      <c r="B455" s="10"/>
      <c r="X455" s="30" t="s">
        <v>185</v>
      </c>
      <c r="Y455" s="30" t="s">
        <v>185</v>
      </c>
      <c r="Z455" s="33"/>
      <c r="AA455" s="33"/>
    </row>
    <row r="456">
      <c r="B456" s="10"/>
      <c r="X456" s="30" t="s">
        <v>185</v>
      </c>
      <c r="Y456" s="30" t="s">
        <v>185</v>
      </c>
      <c r="Z456" s="33"/>
      <c r="AA456" s="33"/>
    </row>
    <row r="457">
      <c r="B457" s="10"/>
      <c r="X457" s="30" t="s">
        <v>185</v>
      </c>
      <c r="Y457" s="30" t="s">
        <v>185</v>
      </c>
      <c r="Z457" s="33"/>
      <c r="AA457" s="33"/>
    </row>
    <row r="458">
      <c r="B458" s="10"/>
      <c r="X458" s="30" t="s">
        <v>185</v>
      </c>
      <c r="Y458" s="30" t="s">
        <v>185</v>
      </c>
      <c r="Z458" s="33"/>
      <c r="AA458" s="33"/>
    </row>
    <row r="459">
      <c r="B459" s="10"/>
      <c r="X459" s="30" t="s">
        <v>185</v>
      </c>
      <c r="Y459" s="30" t="s">
        <v>185</v>
      </c>
      <c r="Z459" s="33"/>
      <c r="AA459" s="33"/>
    </row>
    <row r="460">
      <c r="B460" s="10"/>
      <c r="X460" s="30" t="s">
        <v>185</v>
      </c>
      <c r="Y460" s="30" t="s">
        <v>185</v>
      </c>
      <c r="Z460" s="33"/>
      <c r="AA460" s="33"/>
    </row>
    <row r="461">
      <c r="B461" s="10"/>
      <c r="X461" s="30" t="s">
        <v>185</v>
      </c>
      <c r="Y461" s="30" t="s">
        <v>185</v>
      </c>
      <c r="Z461" s="33"/>
      <c r="AA461" s="33"/>
    </row>
    <row r="462">
      <c r="B462" s="10"/>
      <c r="X462" s="30" t="s">
        <v>185</v>
      </c>
      <c r="Y462" s="30" t="s">
        <v>185</v>
      </c>
      <c r="Z462" s="33"/>
      <c r="AA462" s="33"/>
    </row>
    <row r="463">
      <c r="B463" s="10"/>
      <c r="X463" s="30" t="s">
        <v>185</v>
      </c>
      <c r="Y463" s="30" t="s">
        <v>185</v>
      </c>
      <c r="Z463" s="33"/>
      <c r="AA463" s="33"/>
    </row>
    <row r="464">
      <c r="B464" s="10"/>
      <c r="X464" s="30" t="s">
        <v>185</v>
      </c>
      <c r="Y464" s="30" t="s">
        <v>185</v>
      </c>
      <c r="Z464" s="33"/>
      <c r="AA464" s="33"/>
    </row>
    <row r="465">
      <c r="B465" s="10"/>
      <c r="X465" s="30" t="s">
        <v>185</v>
      </c>
      <c r="Y465" s="30" t="s">
        <v>185</v>
      </c>
      <c r="Z465" s="33"/>
      <c r="AA465" s="33"/>
    </row>
    <row r="466">
      <c r="B466" s="10"/>
      <c r="X466" s="30" t="s">
        <v>185</v>
      </c>
      <c r="Y466" s="30" t="s">
        <v>185</v>
      </c>
      <c r="Z466" s="33"/>
      <c r="AA466" s="33"/>
    </row>
    <row r="467">
      <c r="B467" s="10"/>
      <c r="X467" s="30" t="s">
        <v>185</v>
      </c>
      <c r="Y467" s="30" t="s">
        <v>185</v>
      </c>
      <c r="Z467" s="33"/>
      <c r="AA467" s="33"/>
    </row>
    <row r="468">
      <c r="B468" s="10"/>
      <c r="X468" s="30" t="s">
        <v>185</v>
      </c>
      <c r="Y468" s="30" t="s">
        <v>185</v>
      </c>
      <c r="Z468" s="33"/>
      <c r="AA468" s="33"/>
    </row>
    <row r="469">
      <c r="B469" s="10"/>
      <c r="X469" s="30" t="s">
        <v>185</v>
      </c>
      <c r="Y469" s="30" t="s">
        <v>185</v>
      </c>
      <c r="Z469" s="33"/>
      <c r="AA469" s="33"/>
    </row>
    <row r="470">
      <c r="B470" s="10"/>
      <c r="X470" s="30" t="s">
        <v>185</v>
      </c>
      <c r="Y470" s="30" t="s">
        <v>185</v>
      </c>
      <c r="Z470" s="33"/>
      <c r="AA470" s="33"/>
    </row>
    <row r="471">
      <c r="B471" s="10"/>
      <c r="X471" s="30" t="s">
        <v>185</v>
      </c>
      <c r="Y471" s="30" t="s">
        <v>185</v>
      </c>
      <c r="Z471" s="33"/>
      <c r="AA471" s="33"/>
    </row>
    <row r="472">
      <c r="B472" s="10"/>
      <c r="X472" s="30" t="s">
        <v>185</v>
      </c>
      <c r="Y472" s="30" t="s">
        <v>185</v>
      </c>
      <c r="Z472" s="33"/>
      <c r="AA472" s="33"/>
    </row>
    <row r="473">
      <c r="B473" s="10"/>
      <c r="X473" s="30" t="s">
        <v>185</v>
      </c>
      <c r="Y473" s="30" t="s">
        <v>185</v>
      </c>
      <c r="Z473" s="33"/>
      <c r="AA473" s="33"/>
    </row>
    <row r="474">
      <c r="B474" s="10"/>
      <c r="X474" s="30" t="s">
        <v>185</v>
      </c>
      <c r="Y474" s="30" t="s">
        <v>185</v>
      </c>
      <c r="Z474" s="33"/>
      <c r="AA474" s="33"/>
    </row>
    <row r="475">
      <c r="B475" s="10"/>
      <c r="X475" s="30" t="s">
        <v>185</v>
      </c>
      <c r="Y475" s="30" t="s">
        <v>185</v>
      </c>
      <c r="Z475" s="33"/>
      <c r="AA475" s="33"/>
    </row>
    <row r="476">
      <c r="B476" s="10"/>
      <c r="X476" s="30" t="s">
        <v>185</v>
      </c>
      <c r="Y476" s="30" t="s">
        <v>185</v>
      </c>
      <c r="Z476" s="33"/>
      <c r="AA476" s="33"/>
    </row>
    <row r="477">
      <c r="B477" s="10"/>
      <c r="X477" s="30" t="s">
        <v>185</v>
      </c>
      <c r="Y477" s="30" t="s">
        <v>185</v>
      </c>
      <c r="Z477" s="33"/>
      <c r="AA477" s="33"/>
    </row>
    <row r="478">
      <c r="B478" s="10"/>
      <c r="X478" s="30" t="s">
        <v>185</v>
      </c>
      <c r="Y478" s="30" t="s">
        <v>185</v>
      </c>
      <c r="Z478" s="33"/>
      <c r="AA478" s="33"/>
    </row>
    <row r="479">
      <c r="B479" s="10"/>
      <c r="X479" s="30" t="s">
        <v>185</v>
      </c>
      <c r="Y479" s="30" t="s">
        <v>185</v>
      </c>
      <c r="Z479" s="33"/>
      <c r="AA479" s="33"/>
    </row>
    <row r="480">
      <c r="B480" s="10"/>
      <c r="X480" s="30" t="s">
        <v>185</v>
      </c>
      <c r="Y480" s="30" t="s">
        <v>185</v>
      </c>
      <c r="Z480" s="33"/>
      <c r="AA480" s="33"/>
    </row>
    <row r="481">
      <c r="B481" s="10"/>
      <c r="X481" s="30" t="s">
        <v>185</v>
      </c>
      <c r="Y481" s="30" t="s">
        <v>185</v>
      </c>
      <c r="Z481" s="33"/>
      <c r="AA481" s="33"/>
    </row>
    <row r="482">
      <c r="B482" s="10"/>
      <c r="X482" s="30" t="s">
        <v>185</v>
      </c>
      <c r="Y482" s="30" t="s">
        <v>185</v>
      </c>
      <c r="Z482" s="33"/>
      <c r="AA482" s="33"/>
    </row>
    <row r="483">
      <c r="B483" s="10"/>
      <c r="X483" s="30" t="s">
        <v>185</v>
      </c>
      <c r="Y483" s="30" t="s">
        <v>185</v>
      </c>
      <c r="Z483" s="33"/>
      <c r="AA483" s="33"/>
    </row>
    <row r="484">
      <c r="B484" s="10"/>
      <c r="X484" s="30" t="s">
        <v>185</v>
      </c>
      <c r="Y484" s="30" t="s">
        <v>185</v>
      </c>
      <c r="Z484" s="33"/>
      <c r="AA484" s="33"/>
    </row>
    <row r="485">
      <c r="B485" s="10"/>
      <c r="X485" s="30" t="s">
        <v>185</v>
      </c>
      <c r="Y485" s="30" t="s">
        <v>185</v>
      </c>
      <c r="Z485" s="33"/>
      <c r="AA485" s="33"/>
    </row>
    <row r="486">
      <c r="B486" s="10"/>
      <c r="X486" s="30" t="s">
        <v>185</v>
      </c>
      <c r="Y486" s="30" t="s">
        <v>185</v>
      </c>
      <c r="Z486" s="33"/>
      <c r="AA486" s="33"/>
    </row>
    <row r="487">
      <c r="B487" s="10"/>
      <c r="X487" s="30" t="s">
        <v>185</v>
      </c>
      <c r="Y487" s="30" t="s">
        <v>185</v>
      </c>
      <c r="Z487" s="33"/>
      <c r="AA487" s="33"/>
    </row>
    <row r="488">
      <c r="B488" s="10"/>
      <c r="X488" s="30" t="s">
        <v>185</v>
      </c>
      <c r="Y488" s="30" t="s">
        <v>185</v>
      </c>
      <c r="Z488" s="33"/>
      <c r="AA488" s="33"/>
    </row>
    <row r="489">
      <c r="B489" s="10"/>
      <c r="X489" s="30" t="s">
        <v>185</v>
      </c>
      <c r="Y489" s="30" t="s">
        <v>185</v>
      </c>
      <c r="Z489" s="33"/>
      <c r="AA489" s="33"/>
    </row>
    <row r="490">
      <c r="B490" s="10"/>
      <c r="X490" s="30" t="s">
        <v>185</v>
      </c>
      <c r="Y490" s="30" t="s">
        <v>185</v>
      </c>
      <c r="Z490" s="33"/>
      <c r="AA490" s="33"/>
    </row>
    <row r="491">
      <c r="B491" s="10"/>
      <c r="X491" s="30" t="s">
        <v>185</v>
      </c>
      <c r="Y491" s="30" t="s">
        <v>185</v>
      </c>
      <c r="Z491" s="33"/>
      <c r="AA491" s="33"/>
    </row>
    <row r="492">
      <c r="B492" s="10"/>
      <c r="X492" s="30" t="s">
        <v>185</v>
      </c>
      <c r="Y492" s="30" t="s">
        <v>185</v>
      </c>
      <c r="Z492" s="33"/>
      <c r="AA492" s="33"/>
    </row>
    <row r="493">
      <c r="B493" s="10"/>
      <c r="X493" s="30" t="s">
        <v>185</v>
      </c>
      <c r="Y493" s="30" t="s">
        <v>185</v>
      </c>
      <c r="Z493" s="33"/>
      <c r="AA493" s="33"/>
    </row>
    <row r="494">
      <c r="B494" s="10"/>
      <c r="X494" s="30" t="s">
        <v>185</v>
      </c>
      <c r="Y494" s="30" t="s">
        <v>185</v>
      </c>
      <c r="Z494" s="33"/>
      <c r="AA494" s="33"/>
    </row>
    <row r="495">
      <c r="B495" s="10"/>
      <c r="X495" s="30" t="s">
        <v>185</v>
      </c>
      <c r="Y495" s="30" t="s">
        <v>185</v>
      </c>
      <c r="Z495" s="33"/>
      <c r="AA495" s="33"/>
    </row>
    <row r="496">
      <c r="B496" s="10"/>
      <c r="X496" s="30" t="s">
        <v>185</v>
      </c>
      <c r="Y496" s="30" t="s">
        <v>185</v>
      </c>
      <c r="Z496" s="33"/>
      <c r="AA496" s="33"/>
    </row>
    <row r="497">
      <c r="B497" s="10"/>
      <c r="X497" s="30" t="s">
        <v>185</v>
      </c>
      <c r="Y497" s="30" t="s">
        <v>185</v>
      </c>
      <c r="Z497" s="33"/>
      <c r="AA497" s="33"/>
    </row>
    <row r="498">
      <c r="B498" s="10"/>
      <c r="X498" s="30" t="s">
        <v>185</v>
      </c>
      <c r="Y498" s="30" t="s">
        <v>185</v>
      </c>
      <c r="Z498" s="33"/>
      <c r="AA498" s="33"/>
    </row>
    <row r="499">
      <c r="B499" s="10"/>
      <c r="X499" s="30" t="s">
        <v>185</v>
      </c>
      <c r="Y499" s="30" t="s">
        <v>185</v>
      </c>
      <c r="Z499" s="33"/>
      <c r="AA499" s="33"/>
    </row>
    <row r="500">
      <c r="B500" s="10"/>
      <c r="X500" s="30" t="s">
        <v>185</v>
      </c>
      <c r="Y500" s="30" t="s">
        <v>185</v>
      </c>
      <c r="Z500" s="33"/>
      <c r="AA500" s="33"/>
    </row>
    <row r="501">
      <c r="B501" s="10"/>
      <c r="X501" s="30" t="s">
        <v>185</v>
      </c>
      <c r="Y501" s="30" t="s">
        <v>185</v>
      </c>
      <c r="Z501" s="33"/>
      <c r="AA501" s="33"/>
    </row>
    <row r="502">
      <c r="B502" s="10"/>
      <c r="X502" s="30" t="s">
        <v>185</v>
      </c>
      <c r="Y502" s="30" t="s">
        <v>185</v>
      </c>
      <c r="Z502" s="33"/>
      <c r="AA502" s="33"/>
    </row>
    <row r="503">
      <c r="B503" s="10"/>
      <c r="X503" s="30" t="s">
        <v>185</v>
      </c>
      <c r="Y503" s="30" t="s">
        <v>185</v>
      </c>
      <c r="Z503" s="33"/>
      <c r="AA503" s="33"/>
    </row>
    <row r="504">
      <c r="B504" s="10"/>
      <c r="X504" s="30" t="s">
        <v>185</v>
      </c>
      <c r="Y504" s="30" t="s">
        <v>185</v>
      </c>
      <c r="Z504" s="33"/>
      <c r="AA504" s="33"/>
    </row>
    <row r="505">
      <c r="B505" s="10"/>
      <c r="X505" s="30" t="s">
        <v>185</v>
      </c>
      <c r="Y505" s="30" t="s">
        <v>185</v>
      </c>
      <c r="Z505" s="33"/>
      <c r="AA505" s="33"/>
    </row>
    <row r="506">
      <c r="B506" s="10"/>
      <c r="X506" s="30" t="s">
        <v>185</v>
      </c>
      <c r="Y506" s="30" t="s">
        <v>185</v>
      </c>
      <c r="Z506" s="33"/>
      <c r="AA506" s="33"/>
    </row>
    <row r="507">
      <c r="B507" s="10"/>
      <c r="X507" s="30" t="s">
        <v>185</v>
      </c>
      <c r="Y507" s="30" t="s">
        <v>185</v>
      </c>
      <c r="Z507" s="33"/>
      <c r="AA507" s="33"/>
    </row>
    <row r="508">
      <c r="B508" s="10"/>
      <c r="X508" s="30" t="s">
        <v>185</v>
      </c>
      <c r="Y508" s="30" t="s">
        <v>185</v>
      </c>
      <c r="Z508" s="33"/>
      <c r="AA508" s="33"/>
    </row>
    <row r="509">
      <c r="B509" s="10"/>
      <c r="X509" s="30" t="s">
        <v>185</v>
      </c>
      <c r="Y509" s="30" t="s">
        <v>185</v>
      </c>
      <c r="Z509" s="33"/>
      <c r="AA509" s="33"/>
    </row>
    <row r="510">
      <c r="B510" s="10"/>
      <c r="X510" s="30" t="s">
        <v>185</v>
      </c>
      <c r="Y510" s="30" t="s">
        <v>185</v>
      </c>
      <c r="Z510" s="33"/>
      <c r="AA510" s="33"/>
    </row>
    <row r="511">
      <c r="B511" s="10"/>
      <c r="X511" s="30" t="s">
        <v>185</v>
      </c>
      <c r="Y511" s="30" t="s">
        <v>185</v>
      </c>
      <c r="Z511" s="33"/>
      <c r="AA511" s="33"/>
    </row>
    <row r="512">
      <c r="B512" s="10"/>
      <c r="X512" s="30" t="s">
        <v>185</v>
      </c>
      <c r="Y512" s="30" t="s">
        <v>185</v>
      </c>
      <c r="Z512" s="33"/>
      <c r="AA512" s="33"/>
    </row>
    <row r="513">
      <c r="B513" s="10"/>
      <c r="X513" s="30" t="s">
        <v>185</v>
      </c>
      <c r="Y513" s="30" t="s">
        <v>185</v>
      </c>
      <c r="Z513" s="33"/>
      <c r="AA513" s="33"/>
    </row>
    <row r="514">
      <c r="B514" s="10"/>
      <c r="X514" s="30" t="s">
        <v>185</v>
      </c>
      <c r="Y514" s="30" t="s">
        <v>185</v>
      </c>
      <c r="Z514" s="33"/>
      <c r="AA514" s="33"/>
    </row>
    <row r="515">
      <c r="B515" s="10"/>
      <c r="X515" s="30" t="s">
        <v>185</v>
      </c>
      <c r="Y515" s="30" t="s">
        <v>185</v>
      </c>
      <c r="Z515" s="33"/>
      <c r="AA515" s="33"/>
    </row>
    <row r="516">
      <c r="B516" s="10"/>
      <c r="X516" s="30" t="s">
        <v>185</v>
      </c>
      <c r="Y516" s="30" t="s">
        <v>185</v>
      </c>
      <c r="Z516" s="33"/>
      <c r="AA516" s="33"/>
    </row>
    <row r="517">
      <c r="B517" s="10"/>
      <c r="X517" s="30" t="s">
        <v>185</v>
      </c>
      <c r="Y517" s="30" t="s">
        <v>185</v>
      </c>
      <c r="Z517" s="33"/>
      <c r="AA517" s="33"/>
    </row>
    <row r="518">
      <c r="B518" s="10"/>
      <c r="X518" s="30" t="s">
        <v>185</v>
      </c>
      <c r="Y518" s="30" t="s">
        <v>185</v>
      </c>
      <c r="Z518" s="33"/>
      <c r="AA518" s="33"/>
    </row>
    <row r="519">
      <c r="B519" s="10"/>
      <c r="X519" s="30" t="s">
        <v>185</v>
      </c>
      <c r="Y519" s="30" t="s">
        <v>185</v>
      </c>
      <c r="Z519" s="33"/>
      <c r="AA519" s="33"/>
    </row>
    <row r="520">
      <c r="B520" s="10"/>
      <c r="X520" s="30" t="s">
        <v>185</v>
      </c>
      <c r="Y520" s="30" t="s">
        <v>185</v>
      </c>
      <c r="Z520" s="33"/>
      <c r="AA520" s="33"/>
    </row>
    <row r="521">
      <c r="B521" s="10"/>
      <c r="X521" s="30" t="s">
        <v>185</v>
      </c>
      <c r="Y521" s="30" t="s">
        <v>185</v>
      </c>
      <c r="Z521" s="33"/>
      <c r="AA521" s="33"/>
    </row>
    <row r="522">
      <c r="B522" s="10"/>
      <c r="X522" s="30" t="s">
        <v>185</v>
      </c>
      <c r="Y522" s="30" t="s">
        <v>185</v>
      </c>
      <c r="Z522" s="33"/>
      <c r="AA522" s="33"/>
    </row>
    <row r="523">
      <c r="B523" s="10"/>
      <c r="X523" s="30" t="s">
        <v>185</v>
      </c>
      <c r="Y523" s="30" t="s">
        <v>185</v>
      </c>
      <c r="Z523" s="33"/>
      <c r="AA523" s="33"/>
    </row>
    <row r="524">
      <c r="B524" s="10"/>
      <c r="X524" s="30" t="s">
        <v>185</v>
      </c>
      <c r="Y524" s="30" t="s">
        <v>185</v>
      </c>
      <c r="Z524" s="33"/>
      <c r="AA524" s="33"/>
    </row>
    <row r="525">
      <c r="B525" s="10"/>
      <c r="X525" s="30" t="s">
        <v>185</v>
      </c>
      <c r="Y525" s="30" t="s">
        <v>185</v>
      </c>
      <c r="Z525" s="33"/>
      <c r="AA525" s="33"/>
    </row>
    <row r="526">
      <c r="B526" s="10"/>
      <c r="X526" s="30" t="s">
        <v>185</v>
      </c>
      <c r="Y526" s="30" t="s">
        <v>185</v>
      </c>
      <c r="Z526" s="33"/>
      <c r="AA526" s="33"/>
    </row>
    <row r="527">
      <c r="B527" s="10"/>
      <c r="X527" s="30" t="s">
        <v>185</v>
      </c>
      <c r="Y527" s="30" t="s">
        <v>185</v>
      </c>
      <c r="Z527" s="33"/>
      <c r="AA527" s="33"/>
    </row>
    <row r="528">
      <c r="B528" s="10"/>
      <c r="X528" s="30" t="s">
        <v>185</v>
      </c>
      <c r="Y528" s="30" t="s">
        <v>185</v>
      </c>
      <c r="Z528" s="33"/>
      <c r="AA528" s="33"/>
    </row>
    <row r="529">
      <c r="B529" s="10"/>
      <c r="X529" s="30" t="s">
        <v>185</v>
      </c>
      <c r="Y529" s="30" t="s">
        <v>185</v>
      </c>
      <c r="Z529" s="33"/>
      <c r="AA529" s="33"/>
    </row>
    <row r="530">
      <c r="B530" s="10"/>
      <c r="X530" s="30" t="s">
        <v>185</v>
      </c>
      <c r="Y530" s="30" t="s">
        <v>185</v>
      </c>
      <c r="Z530" s="33"/>
      <c r="AA530" s="33"/>
    </row>
    <row r="531">
      <c r="B531" s="10"/>
      <c r="X531" s="30" t="s">
        <v>185</v>
      </c>
      <c r="Y531" s="30" t="s">
        <v>185</v>
      </c>
      <c r="Z531" s="33"/>
      <c r="AA531" s="33"/>
    </row>
    <row r="532">
      <c r="B532" s="10"/>
      <c r="X532" s="30" t="s">
        <v>185</v>
      </c>
      <c r="Y532" s="30" t="s">
        <v>185</v>
      </c>
      <c r="Z532" s="33"/>
      <c r="AA532" s="33"/>
    </row>
    <row r="533">
      <c r="B533" s="10"/>
      <c r="X533" s="30" t="s">
        <v>185</v>
      </c>
      <c r="Y533" s="30" t="s">
        <v>185</v>
      </c>
      <c r="Z533" s="33"/>
      <c r="AA533" s="33"/>
    </row>
    <row r="534">
      <c r="B534" s="10"/>
      <c r="X534" s="30" t="s">
        <v>185</v>
      </c>
      <c r="Y534" s="30" t="s">
        <v>185</v>
      </c>
      <c r="Z534" s="33"/>
      <c r="AA534" s="33"/>
    </row>
    <row r="535">
      <c r="B535" s="10"/>
      <c r="X535" s="30" t="s">
        <v>185</v>
      </c>
      <c r="Y535" s="30" t="s">
        <v>185</v>
      </c>
      <c r="Z535" s="33"/>
      <c r="AA535" s="33"/>
    </row>
    <row r="536">
      <c r="B536" s="10"/>
      <c r="X536" s="30" t="s">
        <v>185</v>
      </c>
      <c r="Y536" s="30" t="s">
        <v>185</v>
      </c>
      <c r="Z536" s="33"/>
      <c r="AA536" s="33"/>
    </row>
    <row r="537">
      <c r="B537" s="10"/>
      <c r="X537" s="30" t="s">
        <v>185</v>
      </c>
      <c r="Y537" s="30" t="s">
        <v>185</v>
      </c>
      <c r="Z537" s="33"/>
      <c r="AA537" s="33"/>
    </row>
    <row r="538">
      <c r="B538" s="10"/>
      <c r="X538" s="30" t="s">
        <v>185</v>
      </c>
      <c r="Y538" s="30" t="s">
        <v>185</v>
      </c>
      <c r="Z538" s="33"/>
      <c r="AA538" s="33"/>
    </row>
    <row r="539">
      <c r="B539" s="10"/>
      <c r="X539" s="30" t="s">
        <v>185</v>
      </c>
      <c r="Y539" s="30" t="s">
        <v>185</v>
      </c>
      <c r="Z539" s="33"/>
      <c r="AA539" s="33"/>
    </row>
    <row r="540">
      <c r="B540" s="10"/>
      <c r="X540" s="30" t="s">
        <v>185</v>
      </c>
      <c r="Y540" s="30" t="s">
        <v>185</v>
      </c>
      <c r="Z540" s="33"/>
      <c r="AA540" s="33"/>
    </row>
    <row r="541">
      <c r="B541" s="10"/>
      <c r="X541" s="30" t="s">
        <v>185</v>
      </c>
      <c r="Y541" s="30" t="s">
        <v>185</v>
      </c>
      <c r="Z541" s="33"/>
      <c r="AA541" s="33"/>
    </row>
    <row r="542">
      <c r="B542" s="10"/>
      <c r="X542" s="30" t="s">
        <v>185</v>
      </c>
      <c r="Y542" s="30" t="s">
        <v>185</v>
      </c>
      <c r="Z542" s="33"/>
      <c r="AA542" s="33"/>
    </row>
    <row r="543">
      <c r="B543" s="10"/>
      <c r="X543" s="30" t="s">
        <v>185</v>
      </c>
      <c r="Y543" s="30" t="s">
        <v>185</v>
      </c>
      <c r="Z543" s="33"/>
      <c r="AA543" s="33"/>
    </row>
    <row r="544">
      <c r="B544" s="10"/>
      <c r="X544" s="30" t="s">
        <v>185</v>
      </c>
      <c r="Y544" s="30" t="s">
        <v>185</v>
      </c>
      <c r="Z544" s="33"/>
      <c r="AA544" s="33"/>
    </row>
    <row r="545">
      <c r="B545" s="10"/>
      <c r="X545" s="30" t="s">
        <v>185</v>
      </c>
      <c r="Y545" s="30" t="s">
        <v>185</v>
      </c>
      <c r="Z545" s="33"/>
      <c r="AA545" s="33"/>
    </row>
    <row r="546">
      <c r="B546" s="10"/>
      <c r="X546" s="30" t="s">
        <v>185</v>
      </c>
      <c r="Y546" s="30" t="s">
        <v>185</v>
      </c>
      <c r="Z546" s="33"/>
      <c r="AA546" s="33"/>
    </row>
    <row r="547">
      <c r="B547" s="10"/>
      <c r="X547" s="30" t="s">
        <v>185</v>
      </c>
      <c r="Y547" s="30" t="s">
        <v>185</v>
      </c>
      <c r="Z547" s="33"/>
      <c r="AA547" s="33"/>
    </row>
    <row r="548">
      <c r="B548" s="10"/>
      <c r="X548" s="30" t="s">
        <v>185</v>
      </c>
      <c r="Y548" s="30" t="s">
        <v>185</v>
      </c>
      <c r="Z548" s="33"/>
      <c r="AA548" s="33"/>
    </row>
    <row r="549">
      <c r="B549" s="10"/>
      <c r="X549" s="30" t="s">
        <v>185</v>
      </c>
      <c r="Y549" s="30" t="s">
        <v>185</v>
      </c>
      <c r="Z549" s="33"/>
      <c r="AA549" s="33"/>
    </row>
    <row r="550">
      <c r="B550" s="10"/>
      <c r="X550" s="30" t="s">
        <v>185</v>
      </c>
      <c r="Y550" s="30" t="s">
        <v>185</v>
      </c>
      <c r="Z550" s="33"/>
      <c r="AA550" s="33"/>
    </row>
    <row r="551">
      <c r="B551" s="10"/>
      <c r="X551" s="30" t="s">
        <v>185</v>
      </c>
      <c r="Y551" s="30" t="s">
        <v>185</v>
      </c>
      <c r="Z551" s="33"/>
      <c r="AA551" s="33"/>
    </row>
    <row r="552">
      <c r="B552" s="10"/>
      <c r="X552" s="30" t="s">
        <v>185</v>
      </c>
      <c r="Y552" s="30" t="s">
        <v>185</v>
      </c>
      <c r="Z552" s="33"/>
      <c r="AA552" s="33"/>
    </row>
    <row r="553">
      <c r="B553" s="10"/>
      <c r="X553" s="30" t="s">
        <v>185</v>
      </c>
      <c r="Y553" s="30" t="s">
        <v>185</v>
      </c>
      <c r="Z553" s="33"/>
      <c r="AA553" s="33"/>
    </row>
    <row r="554">
      <c r="B554" s="10"/>
      <c r="X554" s="30" t="s">
        <v>185</v>
      </c>
      <c r="Y554" s="30" t="s">
        <v>185</v>
      </c>
      <c r="Z554" s="33"/>
      <c r="AA554" s="33"/>
    </row>
    <row r="555">
      <c r="B555" s="10"/>
      <c r="X555" s="30" t="s">
        <v>185</v>
      </c>
      <c r="Y555" s="30" t="s">
        <v>185</v>
      </c>
      <c r="Z555" s="33"/>
      <c r="AA555" s="33"/>
    </row>
    <row r="556">
      <c r="B556" s="10"/>
      <c r="X556" s="30" t="s">
        <v>185</v>
      </c>
      <c r="Y556" s="30" t="s">
        <v>185</v>
      </c>
      <c r="Z556" s="33"/>
      <c r="AA556" s="33"/>
    </row>
    <row r="557">
      <c r="B557" s="10"/>
      <c r="X557" s="30" t="s">
        <v>185</v>
      </c>
      <c r="Y557" s="30" t="s">
        <v>185</v>
      </c>
      <c r="Z557" s="33"/>
      <c r="AA557" s="33"/>
    </row>
    <row r="558">
      <c r="B558" s="10"/>
      <c r="X558" s="30" t="s">
        <v>185</v>
      </c>
      <c r="Y558" s="30" t="s">
        <v>185</v>
      </c>
      <c r="Z558" s="33"/>
      <c r="AA558" s="33"/>
    </row>
    <row r="559">
      <c r="B559" s="10"/>
      <c r="X559" s="30" t="s">
        <v>185</v>
      </c>
      <c r="Y559" s="30" t="s">
        <v>185</v>
      </c>
      <c r="Z559" s="33"/>
      <c r="AA559" s="33"/>
    </row>
    <row r="560">
      <c r="B560" s="10"/>
      <c r="X560" s="30" t="s">
        <v>185</v>
      </c>
      <c r="Y560" s="30" t="s">
        <v>185</v>
      </c>
      <c r="Z560" s="33"/>
      <c r="AA560" s="33"/>
    </row>
    <row r="561">
      <c r="B561" s="10"/>
      <c r="X561" s="30" t="s">
        <v>185</v>
      </c>
      <c r="Y561" s="30" t="s">
        <v>185</v>
      </c>
      <c r="Z561" s="33"/>
      <c r="AA561" s="33"/>
    </row>
    <row r="562">
      <c r="B562" s="10"/>
      <c r="X562" s="30" t="s">
        <v>185</v>
      </c>
      <c r="Y562" s="30" t="s">
        <v>185</v>
      </c>
      <c r="Z562" s="33"/>
      <c r="AA562" s="33"/>
    </row>
    <row r="563">
      <c r="B563" s="10"/>
      <c r="X563" s="30" t="s">
        <v>185</v>
      </c>
      <c r="Y563" s="30" t="s">
        <v>185</v>
      </c>
      <c r="Z563" s="33"/>
      <c r="AA563" s="33"/>
    </row>
    <row r="564">
      <c r="B564" s="10"/>
      <c r="X564" s="30" t="s">
        <v>185</v>
      </c>
      <c r="Y564" s="30" t="s">
        <v>185</v>
      </c>
      <c r="Z564" s="33"/>
      <c r="AA564" s="33"/>
    </row>
    <row r="565">
      <c r="B565" s="10"/>
      <c r="X565" s="30" t="s">
        <v>185</v>
      </c>
      <c r="Y565" s="30" t="s">
        <v>185</v>
      </c>
      <c r="Z565" s="33"/>
      <c r="AA565" s="33"/>
    </row>
    <row r="566">
      <c r="B566" s="10"/>
      <c r="X566" s="30" t="s">
        <v>185</v>
      </c>
      <c r="Y566" s="30" t="s">
        <v>185</v>
      </c>
      <c r="Z566" s="33"/>
      <c r="AA566" s="33"/>
    </row>
    <row r="567">
      <c r="B567" s="10"/>
      <c r="X567" s="30" t="s">
        <v>185</v>
      </c>
      <c r="Y567" s="30" t="s">
        <v>185</v>
      </c>
      <c r="Z567" s="33"/>
      <c r="AA567" s="33"/>
    </row>
    <row r="568">
      <c r="B568" s="10"/>
      <c r="X568" s="30" t="s">
        <v>185</v>
      </c>
      <c r="Y568" s="30" t="s">
        <v>185</v>
      </c>
      <c r="Z568" s="33"/>
      <c r="AA568" s="33"/>
    </row>
    <row r="569">
      <c r="B569" s="10"/>
      <c r="X569" s="30" t="s">
        <v>185</v>
      </c>
      <c r="Y569" s="30" t="s">
        <v>185</v>
      </c>
      <c r="Z569" s="33"/>
      <c r="AA569" s="33"/>
    </row>
    <row r="570">
      <c r="B570" s="10"/>
      <c r="X570" s="30" t="s">
        <v>185</v>
      </c>
      <c r="Y570" s="30" t="s">
        <v>185</v>
      </c>
      <c r="Z570" s="33"/>
      <c r="AA570" s="33"/>
    </row>
    <row r="571">
      <c r="B571" s="10"/>
      <c r="X571" s="30" t="s">
        <v>185</v>
      </c>
      <c r="Y571" s="30" t="s">
        <v>185</v>
      </c>
      <c r="Z571" s="33"/>
      <c r="AA571" s="33"/>
    </row>
    <row r="572">
      <c r="B572" s="10"/>
      <c r="X572" s="30" t="s">
        <v>185</v>
      </c>
      <c r="Y572" s="30" t="s">
        <v>185</v>
      </c>
      <c r="Z572" s="33"/>
      <c r="AA572" s="33"/>
    </row>
    <row r="573">
      <c r="B573" s="10"/>
      <c r="X573" s="30" t="s">
        <v>185</v>
      </c>
      <c r="Y573" s="30" t="s">
        <v>185</v>
      </c>
      <c r="Z573" s="33"/>
      <c r="AA573" s="33"/>
    </row>
    <row r="574">
      <c r="B574" s="10"/>
      <c r="X574" s="30" t="s">
        <v>185</v>
      </c>
      <c r="Y574" s="30" t="s">
        <v>185</v>
      </c>
      <c r="Z574" s="33"/>
      <c r="AA574" s="33"/>
    </row>
    <row r="575">
      <c r="B575" s="10"/>
      <c r="X575" s="30" t="s">
        <v>185</v>
      </c>
      <c r="Y575" s="30" t="s">
        <v>185</v>
      </c>
      <c r="Z575" s="33"/>
      <c r="AA575" s="33"/>
    </row>
    <row r="576">
      <c r="B576" s="10"/>
      <c r="X576" s="30" t="s">
        <v>185</v>
      </c>
      <c r="Y576" s="30" t="s">
        <v>185</v>
      </c>
      <c r="Z576" s="33"/>
      <c r="AA576" s="33"/>
    </row>
    <row r="577">
      <c r="B577" s="10"/>
      <c r="X577" s="30" t="s">
        <v>185</v>
      </c>
      <c r="Y577" s="30" t="s">
        <v>185</v>
      </c>
      <c r="Z577" s="33"/>
      <c r="AA577" s="33"/>
    </row>
    <row r="578">
      <c r="B578" s="10"/>
      <c r="X578" s="30" t="s">
        <v>185</v>
      </c>
      <c r="Y578" s="30" t="s">
        <v>185</v>
      </c>
      <c r="Z578" s="33"/>
      <c r="AA578" s="33"/>
    </row>
    <row r="579">
      <c r="B579" s="10"/>
      <c r="X579" s="30" t="s">
        <v>185</v>
      </c>
      <c r="Y579" s="30" t="s">
        <v>185</v>
      </c>
      <c r="Z579" s="33"/>
      <c r="AA579" s="33"/>
    </row>
    <row r="580">
      <c r="B580" s="10"/>
      <c r="X580" s="30" t="s">
        <v>185</v>
      </c>
      <c r="Y580" s="30" t="s">
        <v>185</v>
      </c>
      <c r="Z580" s="33"/>
      <c r="AA580" s="33"/>
    </row>
    <row r="581">
      <c r="B581" s="10"/>
      <c r="X581" s="30" t="s">
        <v>185</v>
      </c>
      <c r="Y581" s="30" t="s">
        <v>185</v>
      </c>
      <c r="Z581" s="33"/>
      <c r="AA581" s="33"/>
    </row>
    <row r="582">
      <c r="B582" s="10"/>
      <c r="X582" s="30" t="s">
        <v>185</v>
      </c>
      <c r="Y582" s="30" t="s">
        <v>185</v>
      </c>
      <c r="Z582" s="33"/>
      <c r="AA582" s="33"/>
    </row>
    <row r="583">
      <c r="B583" s="10"/>
      <c r="X583" s="30" t="s">
        <v>185</v>
      </c>
      <c r="Y583" s="30" t="s">
        <v>185</v>
      </c>
      <c r="Z583" s="33"/>
      <c r="AA583" s="33"/>
    </row>
    <row r="584">
      <c r="B584" s="10"/>
      <c r="X584" s="30" t="s">
        <v>185</v>
      </c>
      <c r="Y584" s="30" t="s">
        <v>185</v>
      </c>
      <c r="Z584" s="33"/>
      <c r="AA584" s="33"/>
    </row>
    <row r="585">
      <c r="B585" s="10"/>
      <c r="X585" s="30" t="s">
        <v>185</v>
      </c>
      <c r="Y585" s="30" t="s">
        <v>185</v>
      </c>
      <c r="Z585" s="33"/>
      <c r="AA585" s="33"/>
    </row>
    <row r="586">
      <c r="B586" s="10"/>
      <c r="X586" s="30" t="s">
        <v>185</v>
      </c>
      <c r="Y586" s="30" t="s">
        <v>185</v>
      </c>
      <c r="Z586" s="33"/>
      <c r="AA586" s="33"/>
    </row>
    <row r="587">
      <c r="B587" s="10"/>
      <c r="X587" s="30" t="s">
        <v>185</v>
      </c>
      <c r="Y587" s="30" t="s">
        <v>185</v>
      </c>
      <c r="Z587" s="33"/>
      <c r="AA587" s="33"/>
    </row>
    <row r="588">
      <c r="B588" s="10"/>
      <c r="X588" s="30" t="s">
        <v>185</v>
      </c>
      <c r="Y588" s="30" t="s">
        <v>185</v>
      </c>
      <c r="Z588" s="33"/>
      <c r="AA588" s="33"/>
    </row>
    <row r="589">
      <c r="B589" s="10"/>
      <c r="X589" s="30" t="s">
        <v>185</v>
      </c>
      <c r="Y589" s="30" t="s">
        <v>185</v>
      </c>
      <c r="Z589" s="33"/>
      <c r="AA589" s="33"/>
    </row>
    <row r="590">
      <c r="B590" s="10"/>
      <c r="X590" s="30" t="s">
        <v>185</v>
      </c>
      <c r="Y590" s="30" t="s">
        <v>185</v>
      </c>
      <c r="Z590" s="33"/>
      <c r="AA590" s="33"/>
    </row>
    <row r="591">
      <c r="B591" s="10"/>
      <c r="X591" s="30" t="s">
        <v>185</v>
      </c>
      <c r="Y591" s="30" t="s">
        <v>185</v>
      </c>
      <c r="Z591" s="33"/>
      <c r="AA591" s="33"/>
    </row>
    <row r="592">
      <c r="B592" s="10"/>
      <c r="X592" s="30" t="s">
        <v>185</v>
      </c>
      <c r="Y592" s="30" t="s">
        <v>185</v>
      </c>
      <c r="Z592" s="33"/>
      <c r="AA592" s="33"/>
    </row>
    <row r="593">
      <c r="B593" s="10"/>
      <c r="X593" s="30" t="s">
        <v>185</v>
      </c>
      <c r="Y593" s="30" t="s">
        <v>185</v>
      </c>
      <c r="Z593" s="33"/>
      <c r="AA593" s="33"/>
    </row>
    <row r="594">
      <c r="B594" s="10"/>
      <c r="X594" s="30" t="s">
        <v>185</v>
      </c>
      <c r="Y594" s="30" t="s">
        <v>185</v>
      </c>
      <c r="Z594" s="33"/>
      <c r="AA594" s="33"/>
    </row>
    <row r="595">
      <c r="B595" s="10"/>
      <c r="X595" s="30" t="s">
        <v>185</v>
      </c>
      <c r="Y595" s="30" t="s">
        <v>185</v>
      </c>
      <c r="Z595" s="33"/>
      <c r="AA595" s="33"/>
    </row>
    <row r="596">
      <c r="B596" s="10"/>
      <c r="X596" s="30" t="s">
        <v>185</v>
      </c>
      <c r="Y596" s="30" t="s">
        <v>185</v>
      </c>
      <c r="Z596" s="33"/>
      <c r="AA596" s="33"/>
    </row>
    <row r="597">
      <c r="B597" s="10"/>
      <c r="X597" s="30" t="s">
        <v>185</v>
      </c>
      <c r="Y597" s="30" t="s">
        <v>185</v>
      </c>
      <c r="Z597" s="33"/>
      <c r="AA597" s="33"/>
    </row>
    <row r="598">
      <c r="B598" s="10"/>
      <c r="X598" s="30" t="s">
        <v>185</v>
      </c>
      <c r="Y598" s="30" t="s">
        <v>185</v>
      </c>
      <c r="Z598" s="33"/>
      <c r="AA598" s="33"/>
    </row>
    <row r="599">
      <c r="B599" s="10"/>
      <c r="X599" s="30" t="s">
        <v>185</v>
      </c>
      <c r="Y599" s="30" t="s">
        <v>185</v>
      </c>
      <c r="Z599" s="33"/>
      <c r="AA599" s="33"/>
    </row>
    <row r="600">
      <c r="B600" s="10"/>
      <c r="X600" s="30" t="s">
        <v>185</v>
      </c>
      <c r="Y600" s="30" t="s">
        <v>185</v>
      </c>
      <c r="Z600" s="33"/>
      <c r="AA600" s="33"/>
    </row>
    <row r="601">
      <c r="B601" s="10"/>
      <c r="X601" s="30" t="s">
        <v>185</v>
      </c>
      <c r="Y601" s="30" t="s">
        <v>185</v>
      </c>
      <c r="Z601" s="33"/>
      <c r="AA601" s="33"/>
    </row>
    <row r="602">
      <c r="B602" s="10"/>
      <c r="X602" s="30" t="s">
        <v>185</v>
      </c>
      <c r="Y602" s="30" t="s">
        <v>185</v>
      </c>
      <c r="Z602" s="33"/>
      <c r="AA602" s="33"/>
    </row>
    <row r="603">
      <c r="B603" s="10"/>
      <c r="X603" s="30" t="s">
        <v>185</v>
      </c>
      <c r="Y603" s="30" t="s">
        <v>185</v>
      </c>
      <c r="Z603" s="33"/>
      <c r="AA603" s="33"/>
    </row>
    <row r="604">
      <c r="B604" s="10"/>
      <c r="X604" s="30" t="s">
        <v>185</v>
      </c>
      <c r="Y604" s="30" t="s">
        <v>185</v>
      </c>
      <c r="Z604" s="33"/>
      <c r="AA604" s="33"/>
    </row>
    <row r="605">
      <c r="B605" s="10"/>
      <c r="X605" s="30" t="s">
        <v>185</v>
      </c>
      <c r="Y605" s="30" t="s">
        <v>185</v>
      </c>
      <c r="Z605" s="33"/>
      <c r="AA605" s="33"/>
    </row>
    <row r="606">
      <c r="B606" s="10"/>
      <c r="X606" s="30" t="s">
        <v>185</v>
      </c>
      <c r="Y606" s="30" t="s">
        <v>185</v>
      </c>
      <c r="Z606" s="33"/>
      <c r="AA606" s="33"/>
    </row>
    <row r="607">
      <c r="B607" s="10"/>
      <c r="X607" s="30" t="s">
        <v>185</v>
      </c>
      <c r="Y607" s="30" t="s">
        <v>185</v>
      </c>
      <c r="Z607" s="33"/>
      <c r="AA607" s="33"/>
    </row>
    <row r="608">
      <c r="B608" s="10"/>
      <c r="X608" s="30" t="s">
        <v>185</v>
      </c>
      <c r="Y608" s="30" t="s">
        <v>185</v>
      </c>
      <c r="Z608" s="33"/>
      <c r="AA608" s="33"/>
    </row>
    <row r="609">
      <c r="B609" s="10"/>
      <c r="X609" s="30" t="s">
        <v>185</v>
      </c>
      <c r="Y609" s="30" t="s">
        <v>185</v>
      </c>
      <c r="Z609" s="33"/>
      <c r="AA609" s="33"/>
    </row>
    <row r="610">
      <c r="B610" s="10"/>
      <c r="X610" s="30" t="s">
        <v>185</v>
      </c>
      <c r="Y610" s="30" t="s">
        <v>185</v>
      </c>
      <c r="Z610" s="33"/>
      <c r="AA610" s="33"/>
    </row>
    <row r="611">
      <c r="B611" s="10"/>
      <c r="X611" s="30" t="s">
        <v>185</v>
      </c>
      <c r="Y611" s="30" t="s">
        <v>185</v>
      </c>
      <c r="Z611" s="33"/>
      <c r="AA611" s="33"/>
    </row>
    <row r="612">
      <c r="B612" s="10"/>
      <c r="X612" s="30" t="s">
        <v>185</v>
      </c>
      <c r="Y612" s="30" t="s">
        <v>185</v>
      </c>
      <c r="Z612" s="33"/>
      <c r="AA612" s="33"/>
    </row>
    <row r="613">
      <c r="B613" s="10"/>
      <c r="X613" s="30" t="s">
        <v>185</v>
      </c>
      <c r="Y613" s="30" t="s">
        <v>185</v>
      </c>
      <c r="Z613" s="33"/>
      <c r="AA613" s="33"/>
    </row>
    <row r="614">
      <c r="B614" s="10"/>
      <c r="X614" s="30" t="s">
        <v>185</v>
      </c>
      <c r="Y614" s="30" t="s">
        <v>185</v>
      </c>
      <c r="Z614" s="33"/>
      <c r="AA614" s="33"/>
    </row>
    <row r="615">
      <c r="B615" s="10"/>
      <c r="X615" s="30" t="s">
        <v>185</v>
      </c>
      <c r="Y615" s="30" t="s">
        <v>185</v>
      </c>
      <c r="Z615" s="33"/>
      <c r="AA615" s="33"/>
    </row>
    <row r="616">
      <c r="B616" s="10"/>
      <c r="X616" s="30" t="s">
        <v>185</v>
      </c>
      <c r="Y616" s="30" t="s">
        <v>185</v>
      </c>
      <c r="Z616" s="33"/>
      <c r="AA616" s="33"/>
    </row>
    <row r="617">
      <c r="B617" s="10"/>
      <c r="X617" s="30" t="s">
        <v>185</v>
      </c>
      <c r="Y617" s="30" t="s">
        <v>185</v>
      </c>
      <c r="Z617" s="33"/>
      <c r="AA617" s="33"/>
    </row>
    <row r="618">
      <c r="B618" s="10"/>
      <c r="X618" s="30" t="s">
        <v>185</v>
      </c>
      <c r="Y618" s="30" t="s">
        <v>185</v>
      </c>
      <c r="Z618" s="33"/>
      <c r="AA618" s="33"/>
    </row>
    <row r="619">
      <c r="B619" s="10"/>
      <c r="X619" s="30" t="s">
        <v>185</v>
      </c>
      <c r="Y619" s="30" t="s">
        <v>185</v>
      </c>
      <c r="Z619" s="33"/>
      <c r="AA619" s="33"/>
    </row>
    <row r="620">
      <c r="B620" s="10"/>
      <c r="X620" s="30" t="s">
        <v>185</v>
      </c>
      <c r="Y620" s="30" t="s">
        <v>185</v>
      </c>
      <c r="Z620" s="33"/>
      <c r="AA620" s="33"/>
    </row>
    <row r="621">
      <c r="B621" s="10"/>
      <c r="X621" s="30" t="s">
        <v>185</v>
      </c>
      <c r="Y621" s="30" t="s">
        <v>185</v>
      </c>
      <c r="Z621" s="33"/>
      <c r="AA621" s="33"/>
    </row>
    <row r="622">
      <c r="B622" s="10"/>
      <c r="X622" s="30" t="s">
        <v>185</v>
      </c>
      <c r="Y622" s="30" t="s">
        <v>185</v>
      </c>
      <c r="Z622" s="33"/>
      <c r="AA622" s="33"/>
    </row>
    <row r="623">
      <c r="B623" s="10"/>
      <c r="X623" s="30" t="s">
        <v>185</v>
      </c>
      <c r="Y623" s="30" t="s">
        <v>185</v>
      </c>
      <c r="Z623" s="33"/>
      <c r="AA623" s="33"/>
    </row>
    <row r="624">
      <c r="B624" s="10"/>
      <c r="X624" s="30" t="s">
        <v>185</v>
      </c>
      <c r="Y624" s="30" t="s">
        <v>185</v>
      </c>
      <c r="Z624" s="33"/>
      <c r="AA624" s="33"/>
    </row>
    <row r="625">
      <c r="B625" s="10"/>
      <c r="X625" s="30" t="s">
        <v>185</v>
      </c>
      <c r="Y625" s="30" t="s">
        <v>185</v>
      </c>
      <c r="Z625" s="33"/>
      <c r="AA625" s="33"/>
    </row>
    <row r="626">
      <c r="B626" s="10"/>
      <c r="X626" s="30" t="s">
        <v>185</v>
      </c>
      <c r="Y626" s="30" t="s">
        <v>185</v>
      </c>
      <c r="Z626" s="33"/>
      <c r="AA626" s="33"/>
    </row>
    <row r="627">
      <c r="B627" s="10"/>
      <c r="X627" s="30" t="s">
        <v>185</v>
      </c>
      <c r="Y627" s="30" t="s">
        <v>185</v>
      </c>
      <c r="Z627" s="33"/>
      <c r="AA627" s="33"/>
    </row>
    <row r="628">
      <c r="B628" s="10"/>
      <c r="X628" s="30" t="s">
        <v>185</v>
      </c>
      <c r="Y628" s="30" t="s">
        <v>185</v>
      </c>
      <c r="Z628" s="33"/>
      <c r="AA628" s="33"/>
    </row>
    <row r="629">
      <c r="B629" s="10"/>
      <c r="X629" s="30" t="s">
        <v>185</v>
      </c>
      <c r="Y629" s="30" t="s">
        <v>185</v>
      </c>
      <c r="Z629" s="33"/>
      <c r="AA629" s="33"/>
    </row>
    <row r="630">
      <c r="B630" s="10"/>
      <c r="X630" s="30" t="s">
        <v>185</v>
      </c>
      <c r="Y630" s="30" t="s">
        <v>185</v>
      </c>
      <c r="Z630" s="33"/>
      <c r="AA630" s="33"/>
    </row>
    <row r="631">
      <c r="B631" s="10"/>
      <c r="X631" s="30" t="s">
        <v>185</v>
      </c>
      <c r="Y631" s="30" t="s">
        <v>185</v>
      </c>
      <c r="Z631" s="33"/>
      <c r="AA631" s="33"/>
    </row>
    <row r="632">
      <c r="B632" s="10"/>
      <c r="X632" s="30" t="s">
        <v>185</v>
      </c>
      <c r="Y632" s="30" t="s">
        <v>185</v>
      </c>
      <c r="Z632" s="33"/>
      <c r="AA632" s="33"/>
    </row>
    <row r="633">
      <c r="B633" s="10"/>
      <c r="X633" s="30" t="s">
        <v>185</v>
      </c>
      <c r="Y633" s="30" t="s">
        <v>185</v>
      </c>
      <c r="Z633" s="33"/>
      <c r="AA633" s="33"/>
    </row>
    <row r="634">
      <c r="B634" s="10"/>
      <c r="X634" s="30" t="s">
        <v>185</v>
      </c>
      <c r="Y634" s="30" t="s">
        <v>185</v>
      </c>
      <c r="Z634" s="33"/>
      <c r="AA634" s="33"/>
    </row>
    <row r="635">
      <c r="B635" s="10"/>
      <c r="X635" s="30" t="s">
        <v>185</v>
      </c>
      <c r="Y635" s="30" t="s">
        <v>185</v>
      </c>
      <c r="Z635" s="33"/>
      <c r="AA635" s="33"/>
    </row>
    <row r="636">
      <c r="B636" s="10"/>
      <c r="X636" s="30" t="s">
        <v>185</v>
      </c>
      <c r="Y636" s="30" t="s">
        <v>185</v>
      </c>
      <c r="Z636" s="33"/>
      <c r="AA636" s="33"/>
    </row>
    <row r="637">
      <c r="B637" s="10"/>
      <c r="X637" s="30" t="s">
        <v>185</v>
      </c>
      <c r="Y637" s="30" t="s">
        <v>185</v>
      </c>
      <c r="Z637" s="33"/>
      <c r="AA637" s="33"/>
    </row>
    <row r="638">
      <c r="B638" s="10"/>
      <c r="X638" s="30" t="s">
        <v>185</v>
      </c>
      <c r="Y638" s="30" t="s">
        <v>185</v>
      </c>
      <c r="Z638" s="33"/>
      <c r="AA638" s="33"/>
    </row>
    <row r="639">
      <c r="B639" s="10"/>
      <c r="X639" s="30" t="s">
        <v>185</v>
      </c>
      <c r="Y639" s="30" t="s">
        <v>185</v>
      </c>
      <c r="Z639" s="33"/>
      <c r="AA639" s="33"/>
    </row>
    <row r="640">
      <c r="B640" s="10"/>
      <c r="X640" s="30" t="s">
        <v>185</v>
      </c>
      <c r="Y640" s="30" t="s">
        <v>185</v>
      </c>
      <c r="Z640" s="33"/>
      <c r="AA640" s="33"/>
    </row>
    <row r="641">
      <c r="B641" s="10"/>
      <c r="X641" s="30" t="s">
        <v>185</v>
      </c>
      <c r="Y641" s="30" t="s">
        <v>185</v>
      </c>
      <c r="Z641" s="33"/>
      <c r="AA641" s="33"/>
    </row>
    <row r="642">
      <c r="B642" s="10"/>
      <c r="X642" s="30" t="s">
        <v>185</v>
      </c>
      <c r="Y642" s="30" t="s">
        <v>185</v>
      </c>
      <c r="Z642" s="33"/>
      <c r="AA642" s="33"/>
    </row>
    <row r="643">
      <c r="B643" s="10"/>
      <c r="X643" s="30" t="s">
        <v>185</v>
      </c>
      <c r="Y643" s="30" t="s">
        <v>185</v>
      </c>
      <c r="Z643" s="33"/>
      <c r="AA643" s="33"/>
    </row>
    <row r="644">
      <c r="B644" s="10"/>
      <c r="X644" s="30" t="s">
        <v>185</v>
      </c>
      <c r="Y644" s="30" t="s">
        <v>185</v>
      </c>
      <c r="Z644" s="33"/>
      <c r="AA644" s="33"/>
    </row>
    <row r="645">
      <c r="B645" s="10"/>
      <c r="X645" s="30" t="s">
        <v>185</v>
      </c>
      <c r="Y645" s="30" t="s">
        <v>185</v>
      </c>
      <c r="Z645" s="33"/>
      <c r="AA645" s="33"/>
    </row>
    <row r="646">
      <c r="B646" s="10"/>
      <c r="X646" s="30" t="s">
        <v>185</v>
      </c>
      <c r="Y646" s="30" t="s">
        <v>185</v>
      </c>
      <c r="Z646" s="33"/>
      <c r="AA646" s="33"/>
    </row>
    <row r="647">
      <c r="B647" s="10"/>
      <c r="X647" s="30" t="s">
        <v>185</v>
      </c>
      <c r="Y647" s="30" t="s">
        <v>185</v>
      </c>
      <c r="Z647" s="33"/>
      <c r="AA647" s="33"/>
    </row>
    <row r="648">
      <c r="B648" s="10"/>
      <c r="X648" s="30" t="s">
        <v>185</v>
      </c>
      <c r="Y648" s="30" t="s">
        <v>185</v>
      </c>
      <c r="Z648" s="33"/>
      <c r="AA648" s="33"/>
    </row>
    <row r="649">
      <c r="B649" s="10"/>
      <c r="X649" s="30" t="s">
        <v>185</v>
      </c>
      <c r="Y649" s="30" t="s">
        <v>185</v>
      </c>
      <c r="Z649" s="33"/>
      <c r="AA649" s="33"/>
    </row>
    <row r="650">
      <c r="B650" s="10"/>
      <c r="X650" s="30" t="s">
        <v>185</v>
      </c>
      <c r="Y650" s="30" t="s">
        <v>185</v>
      </c>
      <c r="Z650" s="33"/>
      <c r="AA650" s="33"/>
    </row>
    <row r="651">
      <c r="B651" s="10"/>
      <c r="X651" s="30" t="s">
        <v>185</v>
      </c>
      <c r="Y651" s="30" t="s">
        <v>185</v>
      </c>
      <c r="Z651" s="33"/>
      <c r="AA651" s="33"/>
    </row>
    <row r="652">
      <c r="B652" s="10"/>
      <c r="X652" s="30" t="s">
        <v>185</v>
      </c>
      <c r="Y652" s="30" t="s">
        <v>185</v>
      </c>
      <c r="Z652" s="33"/>
      <c r="AA652" s="33"/>
    </row>
    <row r="653">
      <c r="B653" s="10"/>
      <c r="X653" s="30" t="s">
        <v>185</v>
      </c>
      <c r="Y653" s="30" t="s">
        <v>185</v>
      </c>
      <c r="Z653" s="33"/>
      <c r="AA653" s="33"/>
    </row>
    <row r="654">
      <c r="B654" s="10"/>
      <c r="X654" s="30" t="s">
        <v>185</v>
      </c>
      <c r="Y654" s="30" t="s">
        <v>185</v>
      </c>
      <c r="Z654" s="33"/>
      <c r="AA654" s="33"/>
    </row>
    <row r="655">
      <c r="B655" s="10"/>
      <c r="X655" s="30" t="s">
        <v>185</v>
      </c>
      <c r="Y655" s="30" t="s">
        <v>185</v>
      </c>
      <c r="Z655" s="33"/>
      <c r="AA655" s="33"/>
    </row>
    <row r="656">
      <c r="B656" s="10"/>
      <c r="X656" s="30" t="s">
        <v>185</v>
      </c>
      <c r="Y656" s="30" t="s">
        <v>185</v>
      </c>
      <c r="Z656" s="33"/>
      <c r="AA656" s="33"/>
    </row>
    <row r="657">
      <c r="B657" s="10"/>
      <c r="X657" s="30" t="s">
        <v>185</v>
      </c>
      <c r="Y657" s="30" t="s">
        <v>185</v>
      </c>
      <c r="Z657" s="33"/>
      <c r="AA657" s="33"/>
    </row>
    <row r="658">
      <c r="B658" s="10"/>
      <c r="X658" s="30" t="s">
        <v>185</v>
      </c>
      <c r="Y658" s="30" t="s">
        <v>185</v>
      </c>
      <c r="Z658" s="33"/>
      <c r="AA658" s="33"/>
    </row>
    <row r="659">
      <c r="B659" s="10"/>
      <c r="X659" s="30" t="s">
        <v>185</v>
      </c>
      <c r="Y659" s="30" t="s">
        <v>185</v>
      </c>
      <c r="Z659" s="33"/>
      <c r="AA659" s="33"/>
    </row>
    <row r="660">
      <c r="B660" s="10"/>
      <c r="X660" s="30" t="s">
        <v>185</v>
      </c>
      <c r="Y660" s="30" t="s">
        <v>185</v>
      </c>
      <c r="Z660" s="33"/>
      <c r="AA660" s="33"/>
    </row>
    <row r="661">
      <c r="B661" s="10"/>
      <c r="X661" s="30" t="s">
        <v>185</v>
      </c>
      <c r="Y661" s="30" t="s">
        <v>185</v>
      </c>
      <c r="Z661" s="33"/>
      <c r="AA661" s="33"/>
    </row>
    <row r="662">
      <c r="B662" s="10"/>
      <c r="X662" s="30" t="s">
        <v>185</v>
      </c>
      <c r="Y662" s="30" t="s">
        <v>185</v>
      </c>
      <c r="Z662" s="33"/>
      <c r="AA662" s="33"/>
    </row>
    <row r="663">
      <c r="B663" s="10"/>
      <c r="X663" s="30" t="s">
        <v>185</v>
      </c>
      <c r="Y663" s="30" t="s">
        <v>185</v>
      </c>
      <c r="Z663" s="33"/>
      <c r="AA663" s="33"/>
    </row>
    <row r="664">
      <c r="B664" s="10"/>
      <c r="X664" s="30" t="s">
        <v>185</v>
      </c>
      <c r="Y664" s="30" t="s">
        <v>185</v>
      </c>
      <c r="Z664" s="33"/>
      <c r="AA664" s="33"/>
    </row>
    <row r="665">
      <c r="B665" s="10"/>
      <c r="X665" s="30" t="s">
        <v>185</v>
      </c>
      <c r="Y665" s="30" t="s">
        <v>185</v>
      </c>
      <c r="Z665" s="33"/>
      <c r="AA665" s="33"/>
    </row>
    <row r="666">
      <c r="B666" s="10"/>
      <c r="X666" s="30" t="s">
        <v>185</v>
      </c>
      <c r="Y666" s="30" t="s">
        <v>185</v>
      </c>
      <c r="Z666" s="33"/>
      <c r="AA666" s="33"/>
    </row>
    <row r="667">
      <c r="B667" s="10"/>
      <c r="X667" s="30" t="s">
        <v>185</v>
      </c>
      <c r="Y667" s="30" t="s">
        <v>185</v>
      </c>
      <c r="Z667" s="33"/>
      <c r="AA667" s="33"/>
    </row>
    <row r="668">
      <c r="B668" s="10"/>
      <c r="X668" s="30" t="s">
        <v>185</v>
      </c>
      <c r="Y668" s="30" t="s">
        <v>185</v>
      </c>
      <c r="Z668" s="33"/>
      <c r="AA668" s="33"/>
    </row>
    <row r="669">
      <c r="B669" s="10"/>
      <c r="X669" s="30" t="s">
        <v>185</v>
      </c>
      <c r="Y669" s="30" t="s">
        <v>185</v>
      </c>
      <c r="Z669" s="33"/>
      <c r="AA669" s="33"/>
    </row>
    <row r="670">
      <c r="B670" s="10"/>
      <c r="X670" s="30" t="s">
        <v>185</v>
      </c>
      <c r="Y670" s="30" t="s">
        <v>185</v>
      </c>
      <c r="Z670" s="33"/>
      <c r="AA670" s="33"/>
    </row>
    <row r="671">
      <c r="B671" s="10"/>
      <c r="X671" s="30" t="s">
        <v>185</v>
      </c>
      <c r="Y671" s="30" t="s">
        <v>185</v>
      </c>
      <c r="Z671" s="33"/>
      <c r="AA671" s="33"/>
    </row>
    <row r="672">
      <c r="B672" s="10"/>
      <c r="X672" s="30" t="s">
        <v>185</v>
      </c>
      <c r="Y672" s="30" t="s">
        <v>185</v>
      </c>
      <c r="Z672" s="33"/>
      <c r="AA672" s="33"/>
    </row>
    <row r="673">
      <c r="B673" s="10"/>
      <c r="X673" s="30" t="s">
        <v>185</v>
      </c>
      <c r="Y673" s="30" t="s">
        <v>185</v>
      </c>
      <c r="Z673" s="33"/>
      <c r="AA673" s="33"/>
    </row>
    <row r="674">
      <c r="B674" s="10"/>
      <c r="X674" s="30" t="s">
        <v>185</v>
      </c>
      <c r="Y674" s="30" t="s">
        <v>185</v>
      </c>
      <c r="Z674" s="33"/>
      <c r="AA674" s="33"/>
    </row>
    <row r="675">
      <c r="B675" s="10"/>
      <c r="X675" s="30" t="s">
        <v>185</v>
      </c>
      <c r="Y675" s="30" t="s">
        <v>185</v>
      </c>
      <c r="Z675" s="33"/>
      <c r="AA675" s="33"/>
    </row>
    <row r="676">
      <c r="B676" s="10"/>
      <c r="X676" s="30" t="s">
        <v>185</v>
      </c>
      <c r="Y676" s="30" t="s">
        <v>185</v>
      </c>
      <c r="Z676" s="33"/>
      <c r="AA676" s="33"/>
    </row>
    <row r="677">
      <c r="B677" s="10"/>
      <c r="X677" s="30" t="s">
        <v>185</v>
      </c>
      <c r="Y677" s="30" t="s">
        <v>185</v>
      </c>
      <c r="Z677" s="33"/>
      <c r="AA677" s="33"/>
    </row>
    <row r="678">
      <c r="B678" s="10"/>
      <c r="X678" s="30" t="s">
        <v>185</v>
      </c>
      <c r="Y678" s="30" t="s">
        <v>185</v>
      </c>
      <c r="Z678" s="33"/>
      <c r="AA678" s="33"/>
    </row>
    <row r="679">
      <c r="B679" s="10"/>
      <c r="X679" s="30" t="s">
        <v>185</v>
      </c>
      <c r="Y679" s="30" t="s">
        <v>185</v>
      </c>
      <c r="Z679" s="33"/>
      <c r="AA679" s="33"/>
    </row>
    <row r="680">
      <c r="B680" s="10"/>
      <c r="X680" s="30" t="s">
        <v>185</v>
      </c>
      <c r="Y680" s="30" t="s">
        <v>185</v>
      </c>
      <c r="Z680" s="33"/>
      <c r="AA680" s="33"/>
    </row>
    <row r="681">
      <c r="B681" s="10"/>
      <c r="X681" s="30" t="s">
        <v>185</v>
      </c>
      <c r="Y681" s="30" t="s">
        <v>185</v>
      </c>
      <c r="Z681" s="33"/>
      <c r="AA681" s="33"/>
    </row>
    <row r="682">
      <c r="B682" s="10"/>
      <c r="X682" s="30" t="s">
        <v>185</v>
      </c>
      <c r="Y682" s="30" t="s">
        <v>185</v>
      </c>
      <c r="Z682" s="33"/>
      <c r="AA682" s="33"/>
    </row>
    <row r="683">
      <c r="B683" s="10"/>
      <c r="X683" s="30" t="s">
        <v>185</v>
      </c>
      <c r="Y683" s="30" t="s">
        <v>185</v>
      </c>
      <c r="Z683" s="33"/>
      <c r="AA683" s="33"/>
    </row>
    <row r="684">
      <c r="B684" s="10"/>
      <c r="X684" s="30" t="s">
        <v>185</v>
      </c>
      <c r="Y684" s="30" t="s">
        <v>185</v>
      </c>
      <c r="Z684" s="33"/>
      <c r="AA684" s="33"/>
    </row>
    <row r="685">
      <c r="B685" s="10"/>
      <c r="X685" s="30" t="s">
        <v>185</v>
      </c>
      <c r="Y685" s="30" t="s">
        <v>185</v>
      </c>
      <c r="Z685" s="33"/>
      <c r="AA685" s="33"/>
    </row>
    <row r="686">
      <c r="B686" s="10"/>
      <c r="X686" s="30" t="s">
        <v>185</v>
      </c>
      <c r="Y686" s="30" t="s">
        <v>185</v>
      </c>
      <c r="Z686" s="33"/>
      <c r="AA686" s="33"/>
    </row>
    <row r="687">
      <c r="B687" s="10"/>
      <c r="X687" s="30" t="s">
        <v>185</v>
      </c>
      <c r="Y687" s="30" t="s">
        <v>185</v>
      </c>
      <c r="Z687" s="33"/>
      <c r="AA687" s="33"/>
    </row>
    <row r="688">
      <c r="B688" s="10"/>
      <c r="X688" s="30" t="s">
        <v>185</v>
      </c>
      <c r="Y688" s="30" t="s">
        <v>185</v>
      </c>
      <c r="Z688" s="33"/>
      <c r="AA688" s="33"/>
    </row>
    <row r="689">
      <c r="B689" s="10"/>
      <c r="X689" s="30" t="s">
        <v>185</v>
      </c>
      <c r="Y689" s="30" t="s">
        <v>185</v>
      </c>
      <c r="Z689" s="33"/>
      <c r="AA689" s="33"/>
    </row>
    <row r="690">
      <c r="B690" s="10"/>
      <c r="X690" s="30" t="s">
        <v>185</v>
      </c>
      <c r="Y690" s="30" t="s">
        <v>185</v>
      </c>
      <c r="Z690" s="33"/>
      <c r="AA690" s="33"/>
    </row>
    <row r="691">
      <c r="B691" s="10"/>
      <c r="X691" s="30" t="s">
        <v>185</v>
      </c>
      <c r="Y691" s="30" t="s">
        <v>185</v>
      </c>
      <c r="Z691" s="33"/>
      <c r="AA691" s="33"/>
    </row>
    <row r="692">
      <c r="B692" s="10"/>
      <c r="X692" s="30" t="s">
        <v>185</v>
      </c>
      <c r="Y692" s="30" t="s">
        <v>185</v>
      </c>
      <c r="Z692" s="33"/>
      <c r="AA692" s="33"/>
    </row>
    <row r="693">
      <c r="B693" s="10"/>
      <c r="X693" s="30" t="s">
        <v>185</v>
      </c>
      <c r="Y693" s="30" t="s">
        <v>185</v>
      </c>
      <c r="Z693" s="33"/>
      <c r="AA693" s="33"/>
    </row>
    <row r="694">
      <c r="B694" s="10"/>
      <c r="X694" s="30" t="s">
        <v>185</v>
      </c>
      <c r="Y694" s="30" t="s">
        <v>185</v>
      </c>
      <c r="Z694" s="33"/>
      <c r="AA694" s="33"/>
    </row>
    <row r="695">
      <c r="B695" s="10"/>
      <c r="X695" s="30" t="s">
        <v>185</v>
      </c>
      <c r="Y695" s="30" t="s">
        <v>185</v>
      </c>
      <c r="Z695" s="33"/>
      <c r="AA695" s="33"/>
    </row>
    <row r="696">
      <c r="B696" s="10"/>
      <c r="X696" s="30" t="s">
        <v>185</v>
      </c>
      <c r="Y696" s="30" t="s">
        <v>185</v>
      </c>
      <c r="Z696" s="33"/>
      <c r="AA696" s="33"/>
    </row>
    <row r="697">
      <c r="B697" s="10"/>
      <c r="X697" s="30" t="s">
        <v>185</v>
      </c>
      <c r="Y697" s="30" t="s">
        <v>185</v>
      </c>
      <c r="Z697" s="33"/>
      <c r="AA697" s="33"/>
    </row>
    <row r="698">
      <c r="B698" s="10"/>
      <c r="X698" s="30" t="s">
        <v>185</v>
      </c>
      <c r="Y698" s="30" t="s">
        <v>185</v>
      </c>
      <c r="Z698" s="33"/>
      <c r="AA698" s="33"/>
    </row>
    <row r="699">
      <c r="B699" s="10"/>
      <c r="X699" s="30" t="s">
        <v>185</v>
      </c>
      <c r="Y699" s="30" t="s">
        <v>185</v>
      </c>
      <c r="Z699" s="33"/>
      <c r="AA699" s="33"/>
    </row>
    <row r="700">
      <c r="B700" s="10"/>
      <c r="X700" s="30" t="s">
        <v>185</v>
      </c>
      <c r="Y700" s="30" t="s">
        <v>185</v>
      </c>
      <c r="Z700" s="33"/>
      <c r="AA700" s="33"/>
    </row>
    <row r="701">
      <c r="B701" s="10"/>
      <c r="X701" s="30" t="s">
        <v>185</v>
      </c>
      <c r="Y701" s="30" t="s">
        <v>185</v>
      </c>
      <c r="Z701" s="33"/>
      <c r="AA701" s="33"/>
    </row>
    <row r="702">
      <c r="B702" s="10"/>
      <c r="X702" s="30" t="s">
        <v>185</v>
      </c>
      <c r="Y702" s="30" t="s">
        <v>185</v>
      </c>
      <c r="Z702" s="33"/>
      <c r="AA702" s="33"/>
    </row>
    <row r="703">
      <c r="B703" s="10"/>
      <c r="X703" s="30" t="s">
        <v>185</v>
      </c>
      <c r="Y703" s="30" t="s">
        <v>185</v>
      </c>
      <c r="Z703" s="33"/>
      <c r="AA703" s="33"/>
    </row>
    <row r="704">
      <c r="B704" s="10"/>
      <c r="X704" s="30" t="s">
        <v>185</v>
      </c>
      <c r="Y704" s="30" t="s">
        <v>185</v>
      </c>
      <c r="Z704" s="33"/>
      <c r="AA704" s="33"/>
    </row>
    <row r="705">
      <c r="B705" s="10"/>
      <c r="X705" s="30" t="s">
        <v>185</v>
      </c>
      <c r="Y705" s="30" t="s">
        <v>185</v>
      </c>
      <c r="Z705" s="33"/>
      <c r="AA705" s="33"/>
    </row>
    <row r="706">
      <c r="B706" s="10"/>
      <c r="X706" s="30" t="s">
        <v>185</v>
      </c>
      <c r="Y706" s="30" t="s">
        <v>185</v>
      </c>
      <c r="Z706" s="33"/>
      <c r="AA706" s="33"/>
    </row>
    <row r="707">
      <c r="B707" s="10"/>
      <c r="X707" s="30" t="s">
        <v>185</v>
      </c>
      <c r="Y707" s="30" t="s">
        <v>185</v>
      </c>
      <c r="Z707" s="33"/>
      <c r="AA707" s="33"/>
    </row>
    <row r="708">
      <c r="B708" s="10"/>
      <c r="X708" s="30" t="s">
        <v>185</v>
      </c>
      <c r="Y708" s="30" t="s">
        <v>185</v>
      </c>
      <c r="Z708" s="33"/>
      <c r="AA708" s="33"/>
    </row>
    <row r="709">
      <c r="B709" s="10"/>
      <c r="X709" s="30" t="s">
        <v>185</v>
      </c>
      <c r="Y709" s="30" t="s">
        <v>185</v>
      </c>
      <c r="Z709" s="33"/>
      <c r="AA709" s="33"/>
    </row>
    <row r="710">
      <c r="B710" s="10"/>
      <c r="X710" s="30" t="s">
        <v>185</v>
      </c>
      <c r="Y710" s="30" t="s">
        <v>185</v>
      </c>
      <c r="Z710" s="33"/>
      <c r="AA710" s="33"/>
    </row>
    <row r="711">
      <c r="B711" s="10"/>
      <c r="X711" s="30" t="s">
        <v>185</v>
      </c>
      <c r="Y711" s="30" t="s">
        <v>185</v>
      </c>
      <c r="Z711" s="33"/>
      <c r="AA711" s="33"/>
    </row>
    <row r="712">
      <c r="B712" s="10"/>
      <c r="X712" s="30" t="s">
        <v>185</v>
      </c>
      <c r="Y712" s="30" t="s">
        <v>185</v>
      </c>
      <c r="Z712" s="33"/>
      <c r="AA712" s="33"/>
    </row>
    <row r="713">
      <c r="B713" s="10"/>
      <c r="X713" s="30" t="s">
        <v>185</v>
      </c>
      <c r="Y713" s="30" t="s">
        <v>185</v>
      </c>
      <c r="Z713" s="33"/>
      <c r="AA713" s="33"/>
    </row>
    <row r="714">
      <c r="B714" s="10"/>
      <c r="X714" s="30" t="s">
        <v>185</v>
      </c>
      <c r="Y714" s="30" t="s">
        <v>185</v>
      </c>
      <c r="Z714" s="33"/>
      <c r="AA714" s="33"/>
    </row>
    <row r="715">
      <c r="B715" s="10"/>
      <c r="X715" s="30" t="s">
        <v>185</v>
      </c>
      <c r="Y715" s="30" t="s">
        <v>185</v>
      </c>
      <c r="Z715" s="33"/>
      <c r="AA715" s="33"/>
    </row>
    <row r="716">
      <c r="B716" s="10"/>
      <c r="X716" s="30" t="s">
        <v>185</v>
      </c>
      <c r="Y716" s="30" t="s">
        <v>185</v>
      </c>
      <c r="Z716" s="33"/>
      <c r="AA716" s="33"/>
    </row>
    <row r="717">
      <c r="B717" s="10"/>
      <c r="X717" s="30" t="s">
        <v>185</v>
      </c>
      <c r="Y717" s="30" t="s">
        <v>185</v>
      </c>
      <c r="Z717" s="33"/>
      <c r="AA717" s="33"/>
    </row>
    <row r="718">
      <c r="B718" s="10"/>
      <c r="X718" s="30" t="s">
        <v>185</v>
      </c>
      <c r="Y718" s="30" t="s">
        <v>185</v>
      </c>
      <c r="Z718" s="33"/>
      <c r="AA718" s="33"/>
    </row>
    <row r="719">
      <c r="B719" s="10"/>
      <c r="X719" s="30" t="s">
        <v>185</v>
      </c>
      <c r="Y719" s="30" t="s">
        <v>185</v>
      </c>
      <c r="Z719" s="33"/>
      <c r="AA719" s="33"/>
    </row>
    <row r="720">
      <c r="B720" s="10"/>
      <c r="X720" s="30" t="s">
        <v>185</v>
      </c>
      <c r="Y720" s="30" t="s">
        <v>185</v>
      </c>
      <c r="Z720" s="33"/>
      <c r="AA720" s="33"/>
    </row>
    <row r="721">
      <c r="B721" s="10"/>
      <c r="X721" s="30" t="s">
        <v>185</v>
      </c>
      <c r="Y721" s="30" t="s">
        <v>185</v>
      </c>
      <c r="Z721" s="33"/>
      <c r="AA721" s="33"/>
    </row>
    <row r="722">
      <c r="B722" s="10"/>
      <c r="X722" s="30" t="s">
        <v>185</v>
      </c>
      <c r="Y722" s="30" t="s">
        <v>185</v>
      </c>
      <c r="Z722" s="33"/>
      <c r="AA722" s="33"/>
    </row>
    <row r="723">
      <c r="B723" s="10"/>
      <c r="X723" s="30" t="s">
        <v>185</v>
      </c>
      <c r="Y723" s="30" t="s">
        <v>185</v>
      </c>
      <c r="Z723" s="33"/>
      <c r="AA723" s="33"/>
    </row>
    <row r="724">
      <c r="B724" s="10"/>
      <c r="X724" s="30" t="s">
        <v>185</v>
      </c>
      <c r="Y724" s="30" t="s">
        <v>185</v>
      </c>
      <c r="Z724" s="33"/>
      <c r="AA724" s="33"/>
    </row>
    <row r="725">
      <c r="B725" s="10"/>
      <c r="X725" s="30" t="s">
        <v>185</v>
      </c>
      <c r="Y725" s="30" t="s">
        <v>185</v>
      </c>
      <c r="Z725" s="33"/>
      <c r="AA725" s="33"/>
    </row>
    <row r="726">
      <c r="B726" s="10"/>
      <c r="X726" s="30" t="s">
        <v>185</v>
      </c>
      <c r="Y726" s="30" t="s">
        <v>185</v>
      </c>
      <c r="Z726" s="33"/>
      <c r="AA726" s="33"/>
    </row>
    <row r="727">
      <c r="B727" s="10"/>
      <c r="X727" s="30" t="s">
        <v>185</v>
      </c>
      <c r="Y727" s="30" t="s">
        <v>185</v>
      </c>
      <c r="Z727" s="33"/>
      <c r="AA727" s="33"/>
    </row>
    <row r="728">
      <c r="B728" s="10"/>
      <c r="X728" s="30" t="s">
        <v>185</v>
      </c>
      <c r="Y728" s="30" t="s">
        <v>185</v>
      </c>
      <c r="Z728" s="33"/>
      <c r="AA728" s="33"/>
    </row>
    <row r="729">
      <c r="B729" s="10"/>
      <c r="X729" s="30" t="s">
        <v>185</v>
      </c>
      <c r="Y729" s="30" t="s">
        <v>185</v>
      </c>
      <c r="Z729" s="33"/>
      <c r="AA729" s="33"/>
    </row>
    <row r="730">
      <c r="B730" s="10"/>
      <c r="X730" s="30" t="s">
        <v>185</v>
      </c>
      <c r="Y730" s="30" t="s">
        <v>185</v>
      </c>
      <c r="Z730" s="33"/>
      <c r="AA730" s="33"/>
    </row>
    <row r="731">
      <c r="B731" s="10"/>
      <c r="X731" s="30" t="s">
        <v>185</v>
      </c>
      <c r="Y731" s="30" t="s">
        <v>185</v>
      </c>
      <c r="Z731" s="33"/>
      <c r="AA731" s="33"/>
    </row>
    <row r="732">
      <c r="B732" s="10"/>
      <c r="X732" s="30" t="s">
        <v>185</v>
      </c>
      <c r="Y732" s="30" t="s">
        <v>185</v>
      </c>
      <c r="Z732" s="33"/>
      <c r="AA732" s="33"/>
    </row>
    <row r="733">
      <c r="B733" s="10"/>
      <c r="X733" s="30" t="s">
        <v>185</v>
      </c>
      <c r="Y733" s="30" t="s">
        <v>185</v>
      </c>
      <c r="Z733" s="33"/>
      <c r="AA733" s="33"/>
    </row>
    <row r="734">
      <c r="B734" s="10"/>
      <c r="X734" s="30" t="s">
        <v>185</v>
      </c>
      <c r="Y734" s="30" t="s">
        <v>185</v>
      </c>
      <c r="Z734" s="33"/>
      <c r="AA734" s="33"/>
    </row>
    <row r="735">
      <c r="B735" s="10"/>
      <c r="X735" s="30" t="s">
        <v>185</v>
      </c>
      <c r="Y735" s="30" t="s">
        <v>185</v>
      </c>
      <c r="Z735" s="33"/>
      <c r="AA735" s="33"/>
    </row>
    <row r="736">
      <c r="B736" s="10"/>
      <c r="X736" s="30" t="s">
        <v>185</v>
      </c>
      <c r="Y736" s="30" t="s">
        <v>185</v>
      </c>
      <c r="Z736" s="33"/>
      <c r="AA736" s="33"/>
    </row>
    <row r="737">
      <c r="B737" s="10"/>
      <c r="X737" s="30" t="s">
        <v>185</v>
      </c>
      <c r="Y737" s="30" t="s">
        <v>185</v>
      </c>
      <c r="Z737" s="33"/>
      <c r="AA737" s="33"/>
    </row>
    <row r="738">
      <c r="B738" s="10"/>
      <c r="X738" s="30" t="s">
        <v>185</v>
      </c>
      <c r="Y738" s="30" t="s">
        <v>185</v>
      </c>
      <c r="Z738" s="33"/>
      <c r="AA738" s="33"/>
    </row>
    <row r="739">
      <c r="B739" s="10"/>
      <c r="X739" s="30" t="s">
        <v>185</v>
      </c>
      <c r="Y739" s="30" t="s">
        <v>185</v>
      </c>
      <c r="Z739" s="33"/>
      <c r="AA739" s="33"/>
    </row>
    <row r="740">
      <c r="B740" s="10"/>
      <c r="X740" s="30" t="s">
        <v>185</v>
      </c>
      <c r="Y740" s="30" t="s">
        <v>185</v>
      </c>
      <c r="Z740" s="33"/>
      <c r="AA740" s="33"/>
    </row>
    <row r="741">
      <c r="B741" s="10"/>
      <c r="X741" s="30" t="s">
        <v>185</v>
      </c>
      <c r="Y741" s="30" t="s">
        <v>185</v>
      </c>
      <c r="Z741" s="33"/>
      <c r="AA741" s="33"/>
    </row>
    <row r="742">
      <c r="B742" s="10"/>
      <c r="X742" s="30" t="s">
        <v>185</v>
      </c>
      <c r="Y742" s="30" t="s">
        <v>185</v>
      </c>
      <c r="Z742" s="33"/>
      <c r="AA742" s="33"/>
    </row>
    <row r="743">
      <c r="B743" s="10"/>
      <c r="X743" s="30" t="s">
        <v>185</v>
      </c>
      <c r="Y743" s="30" t="s">
        <v>185</v>
      </c>
      <c r="Z743" s="33"/>
      <c r="AA743" s="33"/>
    </row>
    <row r="744">
      <c r="B744" s="10"/>
      <c r="X744" s="30" t="s">
        <v>185</v>
      </c>
      <c r="Y744" s="30" t="s">
        <v>185</v>
      </c>
      <c r="Z744" s="33"/>
      <c r="AA744" s="33"/>
    </row>
    <row r="745">
      <c r="B745" s="10"/>
      <c r="X745" s="30" t="s">
        <v>185</v>
      </c>
      <c r="Y745" s="30" t="s">
        <v>185</v>
      </c>
      <c r="Z745" s="33"/>
      <c r="AA745" s="33"/>
    </row>
    <row r="746">
      <c r="B746" s="10"/>
      <c r="X746" s="30" t="s">
        <v>185</v>
      </c>
      <c r="Y746" s="30" t="s">
        <v>185</v>
      </c>
      <c r="Z746" s="33"/>
      <c r="AA746" s="33"/>
    </row>
    <row r="747">
      <c r="B747" s="10"/>
      <c r="X747" s="30" t="s">
        <v>185</v>
      </c>
      <c r="Y747" s="30" t="s">
        <v>185</v>
      </c>
      <c r="Z747" s="33"/>
      <c r="AA747" s="33"/>
    </row>
    <row r="748">
      <c r="B748" s="10"/>
      <c r="X748" s="30" t="s">
        <v>185</v>
      </c>
      <c r="Y748" s="30" t="s">
        <v>185</v>
      </c>
      <c r="Z748" s="33"/>
      <c r="AA748" s="33"/>
    </row>
    <row r="749">
      <c r="B749" s="10"/>
      <c r="X749" s="30" t="s">
        <v>185</v>
      </c>
      <c r="Y749" s="30" t="s">
        <v>185</v>
      </c>
      <c r="Z749" s="33"/>
      <c r="AA749" s="33"/>
    </row>
    <row r="750">
      <c r="B750" s="10"/>
      <c r="X750" s="30" t="s">
        <v>185</v>
      </c>
      <c r="Y750" s="30" t="s">
        <v>185</v>
      </c>
      <c r="Z750" s="33"/>
      <c r="AA750" s="33"/>
    </row>
    <row r="751">
      <c r="B751" s="10"/>
      <c r="X751" s="30" t="s">
        <v>185</v>
      </c>
      <c r="Y751" s="30" t="s">
        <v>185</v>
      </c>
      <c r="Z751" s="33"/>
      <c r="AA751" s="33"/>
    </row>
    <row r="752">
      <c r="B752" s="10"/>
      <c r="X752" s="30" t="s">
        <v>185</v>
      </c>
      <c r="Y752" s="30" t="s">
        <v>185</v>
      </c>
      <c r="Z752" s="33"/>
      <c r="AA752" s="33"/>
    </row>
    <row r="753">
      <c r="B753" s="10"/>
      <c r="X753" s="30" t="s">
        <v>185</v>
      </c>
      <c r="Y753" s="30" t="s">
        <v>185</v>
      </c>
      <c r="Z753" s="33"/>
      <c r="AA753" s="33"/>
    </row>
    <row r="754">
      <c r="B754" s="10"/>
      <c r="X754" s="30" t="s">
        <v>185</v>
      </c>
      <c r="Y754" s="30" t="s">
        <v>185</v>
      </c>
      <c r="Z754" s="33"/>
      <c r="AA754" s="33"/>
    </row>
    <row r="755">
      <c r="B755" s="10"/>
      <c r="X755" s="30" t="s">
        <v>185</v>
      </c>
      <c r="Y755" s="30" t="s">
        <v>185</v>
      </c>
      <c r="Z755" s="33"/>
      <c r="AA755" s="33"/>
    </row>
    <row r="756">
      <c r="B756" s="10"/>
      <c r="X756" s="30" t="s">
        <v>185</v>
      </c>
      <c r="Y756" s="30" t="s">
        <v>185</v>
      </c>
      <c r="Z756" s="33"/>
      <c r="AA756" s="33"/>
    </row>
    <row r="757">
      <c r="B757" s="10"/>
      <c r="X757" s="30" t="s">
        <v>185</v>
      </c>
      <c r="Y757" s="30" t="s">
        <v>185</v>
      </c>
      <c r="Z757" s="33"/>
      <c r="AA757" s="33"/>
    </row>
    <row r="758">
      <c r="B758" s="10"/>
      <c r="X758" s="30" t="s">
        <v>185</v>
      </c>
      <c r="Y758" s="30" t="s">
        <v>185</v>
      </c>
      <c r="Z758" s="33"/>
      <c r="AA758" s="33"/>
    </row>
    <row r="759">
      <c r="B759" s="10"/>
      <c r="X759" s="30" t="s">
        <v>185</v>
      </c>
      <c r="Y759" s="30" t="s">
        <v>185</v>
      </c>
      <c r="Z759" s="33"/>
      <c r="AA759" s="33"/>
    </row>
    <row r="760">
      <c r="B760" s="10"/>
      <c r="X760" s="30" t="s">
        <v>185</v>
      </c>
      <c r="Y760" s="30" t="s">
        <v>185</v>
      </c>
      <c r="Z760" s="33"/>
      <c r="AA760" s="33"/>
    </row>
    <row r="761">
      <c r="B761" s="10"/>
      <c r="X761" s="30" t="s">
        <v>185</v>
      </c>
      <c r="Y761" s="30" t="s">
        <v>185</v>
      </c>
      <c r="Z761" s="33"/>
      <c r="AA761" s="33"/>
    </row>
    <row r="762">
      <c r="B762" s="10"/>
      <c r="X762" s="30" t="s">
        <v>185</v>
      </c>
      <c r="Y762" s="30" t="s">
        <v>185</v>
      </c>
      <c r="Z762" s="33"/>
      <c r="AA762" s="33"/>
    </row>
    <row r="763">
      <c r="B763" s="10"/>
      <c r="X763" s="30" t="s">
        <v>185</v>
      </c>
      <c r="Y763" s="30" t="s">
        <v>185</v>
      </c>
      <c r="Z763" s="33"/>
      <c r="AA763" s="33"/>
    </row>
    <row r="764">
      <c r="B764" s="10"/>
      <c r="X764" s="30" t="s">
        <v>185</v>
      </c>
      <c r="Y764" s="30" t="s">
        <v>185</v>
      </c>
      <c r="Z764" s="33"/>
      <c r="AA764" s="33"/>
    </row>
    <row r="765">
      <c r="B765" s="10"/>
      <c r="X765" s="30" t="s">
        <v>185</v>
      </c>
      <c r="Y765" s="30" t="s">
        <v>185</v>
      </c>
      <c r="Z765" s="33"/>
      <c r="AA765" s="33"/>
    </row>
    <row r="766">
      <c r="B766" s="10"/>
      <c r="X766" s="30" t="s">
        <v>185</v>
      </c>
      <c r="Y766" s="30" t="s">
        <v>185</v>
      </c>
      <c r="Z766" s="33"/>
      <c r="AA766" s="33"/>
    </row>
    <row r="767">
      <c r="B767" s="10"/>
      <c r="X767" s="30" t="s">
        <v>185</v>
      </c>
      <c r="Y767" s="30" t="s">
        <v>185</v>
      </c>
      <c r="Z767" s="33"/>
      <c r="AA767" s="33"/>
    </row>
    <row r="768">
      <c r="B768" s="10"/>
      <c r="X768" s="30" t="s">
        <v>185</v>
      </c>
      <c r="Y768" s="30" t="s">
        <v>185</v>
      </c>
      <c r="Z768" s="33"/>
      <c r="AA768" s="33"/>
    </row>
    <row r="769">
      <c r="B769" s="10"/>
      <c r="X769" s="30" t="s">
        <v>185</v>
      </c>
      <c r="Y769" s="30" t="s">
        <v>185</v>
      </c>
      <c r="Z769" s="33"/>
      <c r="AA769" s="33"/>
    </row>
    <row r="770">
      <c r="B770" s="10"/>
      <c r="X770" s="30" t="s">
        <v>185</v>
      </c>
      <c r="Y770" s="30" t="s">
        <v>185</v>
      </c>
      <c r="Z770" s="33"/>
      <c r="AA770" s="33"/>
    </row>
    <row r="771">
      <c r="B771" s="10"/>
      <c r="X771" s="30" t="s">
        <v>185</v>
      </c>
      <c r="Y771" s="30" t="s">
        <v>185</v>
      </c>
      <c r="Z771" s="33"/>
      <c r="AA771" s="33"/>
    </row>
    <row r="772">
      <c r="B772" s="10"/>
      <c r="X772" s="30" t="s">
        <v>185</v>
      </c>
      <c r="Y772" s="30" t="s">
        <v>185</v>
      </c>
      <c r="Z772" s="33"/>
      <c r="AA772" s="33"/>
    </row>
    <row r="773">
      <c r="B773" s="10"/>
      <c r="X773" s="30" t="s">
        <v>185</v>
      </c>
      <c r="Y773" s="30" t="s">
        <v>185</v>
      </c>
      <c r="Z773" s="33"/>
      <c r="AA773" s="33"/>
    </row>
    <row r="774">
      <c r="B774" s="10"/>
      <c r="X774" s="30" t="s">
        <v>185</v>
      </c>
      <c r="Y774" s="30" t="s">
        <v>185</v>
      </c>
      <c r="Z774" s="33"/>
      <c r="AA774" s="33"/>
    </row>
    <row r="775">
      <c r="B775" s="10"/>
      <c r="X775" s="30" t="s">
        <v>185</v>
      </c>
      <c r="Y775" s="30" t="s">
        <v>185</v>
      </c>
      <c r="Z775" s="33"/>
      <c r="AA775" s="33"/>
    </row>
    <row r="776">
      <c r="B776" s="10"/>
      <c r="X776" s="30" t="s">
        <v>185</v>
      </c>
      <c r="Y776" s="30" t="s">
        <v>185</v>
      </c>
      <c r="Z776" s="33"/>
      <c r="AA776" s="33"/>
    </row>
    <row r="777">
      <c r="B777" s="10"/>
      <c r="X777" s="30" t="s">
        <v>185</v>
      </c>
      <c r="Y777" s="30" t="s">
        <v>185</v>
      </c>
      <c r="Z777" s="33"/>
      <c r="AA777" s="33"/>
    </row>
    <row r="778">
      <c r="B778" s="10"/>
      <c r="X778" s="30" t="s">
        <v>185</v>
      </c>
      <c r="Y778" s="30" t="s">
        <v>185</v>
      </c>
      <c r="Z778" s="33"/>
      <c r="AA778" s="33"/>
    </row>
    <row r="779">
      <c r="B779" s="10"/>
      <c r="X779" s="30" t="s">
        <v>185</v>
      </c>
      <c r="Y779" s="30" t="s">
        <v>185</v>
      </c>
      <c r="Z779" s="33"/>
      <c r="AA779" s="33"/>
    </row>
    <row r="780">
      <c r="B780" s="10"/>
      <c r="X780" s="30" t="s">
        <v>185</v>
      </c>
      <c r="Y780" s="30" t="s">
        <v>185</v>
      </c>
      <c r="Z780" s="33"/>
      <c r="AA780" s="33"/>
    </row>
    <row r="781">
      <c r="B781" s="10"/>
      <c r="X781" s="30" t="s">
        <v>185</v>
      </c>
      <c r="Y781" s="30" t="s">
        <v>185</v>
      </c>
      <c r="Z781" s="33"/>
      <c r="AA781" s="33"/>
    </row>
    <row r="782">
      <c r="B782" s="10"/>
      <c r="X782" s="30" t="s">
        <v>185</v>
      </c>
      <c r="Y782" s="30" t="s">
        <v>185</v>
      </c>
      <c r="Z782" s="33"/>
      <c r="AA782" s="33"/>
    </row>
    <row r="783">
      <c r="B783" s="10"/>
      <c r="X783" s="30" t="s">
        <v>185</v>
      </c>
      <c r="Y783" s="30" t="s">
        <v>185</v>
      </c>
      <c r="Z783" s="33"/>
      <c r="AA783" s="33"/>
    </row>
    <row r="784">
      <c r="B784" s="10"/>
      <c r="X784" s="30" t="s">
        <v>185</v>
      </c>
      <c r="Y784" s="30" t="s">
        <v>185</v>
      </c>
      <c r="Z784" s="33"/>
      <c r="AA784" s="33"/>
    </row>
    <row r="785">
      <c r="B785" s="10"/>
      <c r="X785" s="30" t="s">
        <v>185</v>
      </c>
      <c r="Y785" s="30" t="s">
        <v>185</v>
      </c>
      <c r="Z785" s="33"/>
      <c r="AA785" s="33"/>
    </row>
    <row r="786">
      <c r="B786" s="10"/>
      <c r="X786" s="30" t="s">
        <v>185</v>
      </c>
      <c r="Y786" s="30" t="s">
        <v>185</v>
      </c>
      <c r="Z786" s="33"/>
      <c r="AA786" s="33"/>
    </row>
    <row r="787">
      <c r="B787" s="10"/>
      <c r="X787" s="30" t="s">
        <v>185</v>
      </c>
      <c r="Y787" s="30" t="s">
        <v>185</v>
      </c>
      <c r="Z787" s="33"/>
      <c r="AA787" s="33"/>
    </row>
    <row r="788">
      <c r="B788" s="10"/>
      <c r="X788" s="30" t="s">
        <v>185</v>
      </c>
      <c r="Y788" s="30" t="s">
        <v>185</v>
      </c>
      <c r="Z788" s="33"/>
      <c r="AA788" s="33"/>
    </row>
    <row r="789">
      <c r="B789" s="10"/>
      <c r="X789" s="30" t="s">
        <v>185</v>
      </c>
      <c r="Y789" s="30" t="s">
        <v>185</v>
      </c>
      <c r="Z789" s="33"/>
      <c r="AA789" s="33"/>
    </row>
    <row r="790">
      <c r="B790" s="10"/>
      <c r="X790" s="30" t="s">
        <v>185</v>
      </c>
      <c r="Y790" s="30" t="s">
        <v>185</v>
      </c>
      <c r="Z790" s="33"/>
      <c r="AA790" s="33"/>
    </row>
    <row r="791">
      <c r="B791" s="10"/>
      <c r="X791" s="30" t="s">
        <v>185</v>
      </c>
      <c r="Y791" s="30" t="s">
        <v>185</v>
      </c>
      <c r="Z791" s="33"/>
      <c r="AA791" s="33"/>
    </row>
    <row r="792">
      <c r="B792" s="10"/>
      <c r="X792" s="30" t="s">
        <v>185</v>
      </c>
      <c r="Y792" s="30" t="s">
        <v>185</v>
      </c>
      <c r="Z792" s="33"/>
      <c r="AA792" s="33"/>
    </row>
    <row r="793">
      <c r="B793" s="10"/>
      <c r="X793" s="30" t="s">
        <v>185</v>
      </c>
      <c r="Y793" s="30" t="s">
        <v>185</v>
      </c>
      <c r="Z793" s="33"/>
      <c r="AA793" s="33"/>
    </row>
    <row r="794">
      <c r="B794" s="10"/>
      <c r="X794" s="30" t="s">
        <v>185</v>
      </c>
      <c r="Y794" s="30" t="s">
        <v>185</v>
      </c>
      <c r="Z794" s="33"/>
      <c r="AA794" s="33"/>
    </row>
    <row r="795">
      <c r="B795" s="10"/>
      <c r="X795" s="30" t="s">
        <v>185</v>
      </c>
      <c r="Y795" s="30" t="s">
        <v>185</v>
      </c>
      <c r="Z795" s="33"/>
      <c r="AA795" s="33"/>
    </row>
    <row r="796">
      <c r="B796" s="10"/>
      <c r="X796" s="30" t="s">
        <v>185</v>
      </c>
      <c r="Y796" s="30" t="s">
        <v>185</v>
      </c>
      <c r="Z796" s="33"/>
      <c r="AA796" s="33"/>
    </row>
    <row r="797">
      <c r="B797" s="10"/>
      <c r="X797" s="30" t="s">
        <v>185</v>
      </c>
      <c r="Y797" s="30" t="s">
        <v>185</v>
      </c>
      <c r="Z797" s="33"/>
      <c r="AA797" s="33"/>
    </row>
    <row r="798">
      <c r="B798" s="10"/>
      <c r="X798" s="30" t="s">
        <v>185</v>
      </c>
      <c r="Y798" s="30" t="s">
        <v>185</v>
      </c>
      <c r="Z798" s="33"/>
      <c r="AA798" s="33"/>
    </row>
    <row r="799">
      <c r="B799" s="10"/>
      <c r="X799" s="30" t="s">
        <v>185</v>
      </c>
      <c r="Y799" s="30" t="s">
        <v>185</v>
      </c>
      <c r="Z799" s="33"/>
      <c r="AA799" s="33"/>
    </row>
    <row r="800">
      <c r="B800" s="10"/>
      <c r="X800" s="30" t="s">
        <v>185</v>
      </c>
      <c r="Y800" s="30" t="s">
        <v>185</v>
      </c>
      <c r="Z800" s="33"/>
      <c r="AA800" s="33"/>
    </row>
    <row r="801">
      <c r="B801" s="10"/>
      <c r="X801" s="30" t="s">
        <v>185</v>
      </c>
      <c r="Y801" s="30" t="s">
        <v>185</v>
      </c>
      <c r="Z801" s="33"/>
      <c r="AA801" s="33"/>
    </row>
    <row r="802">
      <c r="B802" s="10"/>
      <c r="X802" s="30" t="s">
        <v>185</v>
      </c>
      <c r="Y802" s="30" t="s">
        <v>185</v>
      </c>
      <c r="Z802" s="33"/>
      <c r="AA802" s="33"/>
    </row>
    <row r="803">
      <c r="B803" s="10"/>
      <c r="X803" s="30" t="s">
        <v>185</v>
      </c>
      <c r="Y803" s="30" t="s">
        <v>185</v>
      </c>
      <c r="Z803" s="33"/>
      <c r="AA803" s="33"/>
    </row>
    <row r="804">
      <c r="B804" s="10"/>
      <c r="X804" s="30" t="s">
        <v>185</v>
      </c>
      <c r="Y804" s="30" t="s">
        <v>185</v>
      </c>
      <c r="Z804" s="33"/>
      <c r="AA804" s="33"/>
    </row>
    <row r="805">
      <c r="B805" s="10"/>
      <c r="X805" s="30" t="s">
        <v>185</v>
      </c>
      <c r="Y805" s="30" t="s">
        <v>185</v>
      </c>
      <c r="Z805" s="33"/>
      <c r="AA805" s="33"/>
    </row>
    <row r="806">
      <c r="B806" s="10"/>
      <c r="X806" s="30" t="s">
        <v>185</v>
      </c>
      <c r="Y806" s="30" t="s">
        <v>185</v>
      </c>
      <c r="Z806" s="33"/>
      <c r="AA806" s="33"/>
    </row>
    <row r="807">
      <c r="B807" s="10"/>
      <c r="X807" s="30" t="s">
        <v>185</v>
      </c>
      <c r="Y807" s="30" t="s">
        <v>185</v>
      </c>
      <c r="Z807" s="33"/>
      <c r="AA807" s="33"/>
    </row>
    <row r="808">
      <c r="B808" s="10"/>
      <c r="X808" s="30" t="s">
        <v>185</v>
      </c>
      <c r="Y808" s="30" t="s">
        <v>185</v>
      </c>
      <c r="Z808" s="33"/>
      <c r="AA808" s="33"/>
    </row>
    <row r="809">
      <c r="B809" s="10"/>
      <c r="X809" s="30" t="s">
        <v>185</v>
      </c>
      <c r="Y809" s="30" t="s">
        <v>185</v>
      </c>
      <c r="Z809" s="33"/>
      <c r="AA809" s="33"/>
    </row>
    <row r="810">
      <c r="B810" s="10"/>
      <c r="X810" s="30" t="s">
        <v>185</v>
      </c>
      <c r="Y810" s="30" t="s">
        <v>185</v>
      </c>
      <c r="Z810" s="33"/>
      <c r="AA810" s="33"/>
    </row>
    <row r="811">
      <c r="B811" s="10"/>
      <c r="X811" s="30" t="s">
        <v>185</v>
      </c>
      <c r="Y811" s="30" t="s">
        <v>185</v>
      </c>
      <c r="Z811" s="33"/>
      <c r="AA811" s="33"/>
    </row>
    <row r="812">
      <c r="B812" s="10"/>
      <c r="X812" s="30" t="s">
        <v>185</v>
      </c>
      <c r="Y812" s="30" t="s">
        <v>185</v>
      </c>
      <c r="Z812" s="33"/>
      <c r="AA812" s="33"/>
    </row>
    <row r="813">
      <c r="B813" s="10"/>
      <c r="X813" s="30" t="s">
        <v>185</v>
      </c>
      <c r="Y813" s="30" t="s">
        <v>185</v>
      </c>
      <c r="Z813" s="33"/>
      <c r="AA813" s="33"/>
    </row>
    <row r="814">
      <c r="B814" s="10"/>
      <c r="X814" s="30" t="s">
        <v>185</v>
      </c>
      <c r="Y814" s="30" t="s">
        <v>185</v>
      </c>
      <c r="Z814" s="33"/>
      <c r="AA814" s="33"/>
    </row>
    <row r="815">
      <c r="B815" s="10"/>
      <c r="X815" s="30" t="s">
        <v>185</v>
      </c>
      <c r="Y815" s="30" t="s">
        <v>185</v>
      </c>
      <c r="Z815" s="33"/>
      <c r="AA815" s="33"/>
    </row>
    <row r="816">
      <c r="B816" s="10"/>
      <c r="X816" s="30" t="s">
        <v>185</v>
      </c>
      <c r="Y816" s="30" t="s">
        <v>185</v>
      </c>
      <c r="Z816" s="33"/>
      <c r="AA816" s="33"/>
    </row>
    <row r="817">
      <c r="B817" s="10"/>
      <c r="X817" s="30" t="s">
        <v>185</v>
      </c>
      <c r="Y817" s="30" t="s">
        <v>185</v>
      </c>
      <c r="Z817" s="33"/>
      <c r="AA817" s="33"/>
    </row>
    <row r="818">
      <c r="B818" s="10"/>
      <c r="X818" s="30" t="s">
        <v>185</v>
      </c>
      <c r="Y818" s="30" t="s">
        <v>185</v>
      </c>
      <c r="Z818" s="33"/>
      <c r="AA818" s="33"/>
    </row>
    <row r="819">
      <c r="B819" s="10"/>
      <c r="X819" s="30" t="s">
        <v>185</v>
      </c>
      <c r="Y819" s="30" t="s">
        <v>185</v>
      </c>
      <c r="Z819" s="33"/>
      <c r="AA819" s="33"/>
    </row>
    <row r="820">
      <c r="B820" s="10"/>
      <c r="X820" s="30" t="s">
        <v>185</v>
      </c>
      <c r="Y820" s="30" t="s">
        <v>185</v>
      </c>
      <c r="Z820" s="33"/>
      <c r="AA820" s="33"/>
    </row>
    <row r="821">
      <c r="B821" s="10"/>
      <c r="X821" s="30" t="s">
        <v>185</v>
      </c>
      <c r="Y821" s="30" t="s">
        <v>185</v>
      </c>
      <c r="Z821" s="33"/>
      <c r="AA821" s="33"/>
    </row>
    <row r="822">
      <c r="B822" s="10"/>
      <c r="X822" s="30" t="s">
        <v>185</v>
      </c>
      <c r="Y822" s="30" t="s">
        <v>185</v>
      </c>
      <c r="Z822" s="33"/>
      <c r="AA822" s="33"/>
    </row>
    <row r="823">
      <c r="B823" s="10"/>
      <c r="X823" s="30" t="s">
        <v>185</v>
      </c>
      <c r="Y823" s="30" t="s">
        <v>185</v>
      </c>
      <c r="Z823" s="33"/>
      <c r="AA823" s="33"/>
    </row>
    <row r="824">
      <c r="B824" s="10"/>
      <c r="X824" s="30" t="s">
        <v>185</v>
      </c>
      <c r="Y824" s="30" t="s">
        <v>185</v>
      </c>
      <c r="Z824" s="33"/>
      <c r="AA824" s="33"/>
    </row>
    <row r="825">
      <c r="B825" s="10"/>
      <c r="X825" s="30" t="s">
        <v>185</v>
      </c>
      <c r="Y825" s="30" t="s">
        <v>185</v>
      </c>
      <c r="Z825" s="33"/>
      <c r="AA825" s="33"/>
    </row>
    <row r="826">
      <c r="B826" s="10"/>
      <c r="X826" s="30" t="s">
        <v>185</v>
      </c>
      <c r="Y826" s="30" t="s">
        <v>185</v>
      </c>
      <c r="Z826" s="33"/>
      <c r="AA826" s="33"/>
    </row>
    <row r="827">
      <c r="B827" s="10"/>
      <c r="X827" s="30" t="s">
        <v>185</v>
      </c>
      <c r="Y827" s="30" t="s">
        <v>185</v>
      </c>
      <c r="Z827" s="33"/>
      <c r="AA827" s="33"/>
    </row>
    <row r="828">
      <c r="B828" s="10"/>
      <c r="X828" s="30" t="s">
        <v>185</v>
      </c>
      <c r="Y828" s="30" t="s">
        <v>185</v>
      </c>
      <c r="Z828" s="33"/>
      <c r="AA828" s="33"/>
    </row>
    <row r="829">
      <c r="B829" s="10"/>
      <c r="X829" s="30" t="s">
        <v>185</v>
      </c>
      <c r="Y829" s="30" t="s">
        <v>185</v>
      </c>
      <c r="Z829" s="33"/>
      <c r="AA829" s="33"/>
    </row>
    <row r="830">
      <c r="B830" s="10"/>
      <c r="X830" s="30" t="s">
        <v>185</v>
      </c>
      <c r="Y830" s="30" t="s">
        <v>185</v>
      </c>
      <c r="Z830" s="33"/>
      <c r="AA830" s="33"/>
    </row>
    <row r="831">
      <c r="B831" s="10"/>
      <c r="X831" s="30" t="s">
        <v>185</v>
      </c>
      <c r="Y831" s="30" t="s">
        <v>185</v>
      </c>
      <c r="Z831" s="33"/>
      <c r="AA831" s="33"/>
    </row>
    <row r="832">
      <c r="B832" s="10"/>
      <c r="X832" s="30" t="s">
        <v>185</v>
      </c>
      <c r="Y832" s="30" t="s">
        <v>185</v>
      </c>
      <c r="Z832" s="33"/>
      <c r="AA832" s="33"/>
    </row>
    <row r="833">
      <c r="B833" s="10"/>
      <c r="X833" s="30" t="s">
        <v>185</v>
      </c>
      <c r="Y833" s="30" t="s">
        <v>185</v>
      </c>
      <c r="Z833" s="33"/>
      <c r="AA833" s="33"/>
    </row>
    <row r="834">
      <c r="B834" s="10"/>
      <c r="X834" s="30" t="s">
        <v>185</v>
      </c>
      <c r="Y834" s="30" t="s">
        <v>185</v>
      </c>
      <c r="Z834" s="33"/>
      <c r="AA834" s="33"/>
    </row>
    <row r="835">
      <c r="B835" s="10"/>
      <c r="X835" s="30" t="s">
        <v>185</v>
      </c>
      <c r="Y835" s="30" t="s">
        <v>185</v>
      </c>
      <c r="Z835" s="33"/>
      <c r="AA835" s="33"/>
    </row>
    <row r="836">
      <c r="B836" s="10"/>
      <c r="X836" s="30" t="s">
        <v>185</v>
      </c>
      <c r="Y836" s="30" t="s">
        <v>185</v>
      </c>
      <c r="Z836" s="33"/>
      <c r="AA836" s="33"/>
    </row>
    <row r="837">
      <c r="B837" s="10"/>
      <c r="X837" s="30" t="s">
        <v>185</v>
      </c>
      <c r="Y837" s="30" t="s">
        <v>185</v>
      </c>
      <c r="Z837" s="33"/>
      <c r="AA837" s="33"/>
    </row>
    <row r="838">
      <c r="B838" s="10"/>
      <c r="X838" s="30" t="s">
        <v>185</v>
      </c>
      <c r="Y838" s="30" t="s">
        <v>185</v>
      </c>
      <c r="Z838" s="33"/>
      <c r="AA838" s="33"/>
    </row>
    <row r="839">
      <c r="B839" s="10"/>
      <c r="X839" s="30" t="s">
        <v>185</v>
      </c>
      <c r="Y839" s="30" t="s">
        <v>185</v>
      </c>
      <c r="Z839" s="33"/>
      <c r="AA839" s="33"/>
    </row>
    <row r="840">
      <c r="B840" s="10"/>
      <c r="X840" s="30" t="s">
        <v>185</v>
      </c>
      <c r="Y840" s="30" t="s">
        <v>185</v>
      </c>
      <c r="Z840" s="33"/>
      <c r="AA840" s="33"/>
    </row>
    <row r="841">
      <c r="B841" s="10"/>
      <c r="X841" s="30" t="s">
        <v>185</v>
      </c>
      <c r="Y841" s="30" t="s">
        <v>185</v>
      </c>
      <c r="Z841" s="33"/>
      <c r="AA841" s="33"/>
    </row>
    <row r="842">
      <c r="B842" s="10"/>
      <c r="X842" s="30" t="s">
        <v>185</v>
      </c>
      <c r="Y842" s="30" t="s">
        <v>185</v>
      </c>
      <c r="Z842" s="33"/>
      <c r="AA842" s="33"/>
    </row>
    <row r="843">
      <c r="B843" s="10"/>
      <c r="X843" s="30" t="s">
        <v>185</v>
      </c>
      <c r="Y843" s="30" t="s">
        <v>185</v>
      </c>
      <c r="Z843" s="33"/>
      <c r="AA843" s="33"/>
    </row>
    <row r="844">
      <c r="B844" s="10"/>
      <c r="X844" s="30" t="s">
        <v>185</v>
      </c>
      <c r="Y844" s="30" t="s">
        <v>185</v>
      </c>
      <c r="Z844" s="33"/>
      <c r="AA844" s="33"/>
    </row>
    <row r="845">
      <c r="B845" s="10"/>
      <c r="X845" s="30" t="s">
        <v>185</v>
      </c>
      <c r="Y845" s="30" t="s">
        <v>185</v>
      </c>
      <c r="Z845" s="33"/>
      <c r="AA845" s="33"/>
    </row>
    <row r="846">
      <c r="B846" s="10"/>
      <c r="X846" s="30" t="s">
        <v>185</v>
      </c>
      <c r="Y846" s="30" t="s">
        <v>185</v>
      </c>
      <c r="Z846" s="33"/>
      <c r="AA846" s="33"/>
    </row>
    <row r="847">
      <c r="B847" s="10"/>
      <c r="X847" s="30" t="s">
        <v>185</v>
      </c>
      <c r="Y847" s="30" t="s">
        <v>185</v>
      </c>
      <c r="Z847" s="33"/>
      <c r="AA847" s="33"/>
    </row>
    <row r="848">
      <c r="B848" s="10"/>
      <c r="X848" s="30" t="s">
        <v>185</v>
      </c>
      <c r="Y848" s="30" t="s">
        <v>185</v>
      </c>
      <c r="Z848" s="33"/>
      <c r="AA848" s="33"/>
    </row>
    <row r="849">
      <c r="B849" s="10"/>
      <c r="X849" s="30" t="s">
        <v>185</v>
      </c>
      <c r="Y849" s="30" t="s">
        <v>185</v>
      </c>
      <c r="Z849" s="33"/>
      <c r="AA849" s="33"/>
    </row>
    <row r="850">
      <c r="B850" s="10"/>
      <c r="X850" s="30" t="s">
        <v>185</v>
      </c>
      <c r="Y850" s="30" t="s">
        <v>185</v>
      </c>
      <c r="Z850" s="33"/>
      <c r="AA850" s="33"/>
    </row>
    <row r="851">
      <c r="B851" s="10"/>
      <c r="X851" s="30" t="s">
        <v>185</v>
      </c>
      <c r="Y851" s="30" t="s">
        <v>185</v>
      </c>
      <c r="Z851" s="33"/>
      <c r="AA851" s="33"/>
    </row>
    <row r="852">
      <c r="B852" s="10"/>
      <c r="X852" s="30" t="s">
        <v>185</v>
      </c>
      <c r="Y852" s="30" t="s">
        <v>185</v>
      </c>
      <c r="Z852" s="33"/>
      <c r="AA852" s="33"/>
    </row>
    <row r="853">
      <c r="B853" s="10"/>
      <c r="X853" s="30" t="s">
        <v>185</v>
      </c>
      <c r="Y853" s="30" t="s">
        <v>185</v>
      </c>
      <c r="Z853" s="33"/>
      <c r="AA853" s="33"/>
    </row>
    <row r="854">
      <c r="B854" s="10"/>
      <c r="X854" s="30" t="s">
        <v>185</v>
      </c>
      <c r="Y854" s="30" t="s">
        <v>185</v>
      </c>
      <c r="Z854" s="33"/>
      <c r="AA854" s="33"/>
    </row>
    <row r="855">
      <c r="B855" s="10"/>
      <c r="X855" s="30" t="s">
        <v>185</v>
      </c>
      <c r="Y855" s="30" t="s">
        <v>185</v>
      </c>
      <c r="Z855" s="33"/>
      <c r="AA855" s="33"/>
    </row>
    <row r="856">
      <c r="B856" s="10"/>
      <c r="X856" s="30" t="s">
        <v>185</v>
      </c>
      <c r="Y856" s="30" t="s">
        <v>185</v>
      </c>
      <c r="Z856" s="33"/>
      <c r="AA856" s="33"/>
    </row>
    <row r="857">
      <c r="B857" s="10"/>
      <c r="X857" s="30" t="s">
        <v>185</v>
      </c>
      <c r="Y857" s="30" t="s">
        <v>185</v>
      </c>
      <c r="Z857" s="33"/>
      <c r="AA857" s="33"/>
    </row>
    <row r="858">
      <c r="B858" s="10"/>
      <c r="X858" s="30" t="s">
        <v>185</v>
      </c>
      <c r="Y858" s="30" t="s">
        <v>185</v>
      </c>
      <c r="Z858" s="33"/>
      <c r="AA858" s="33"/>
    </row>
    <row r="859">
      <c r="B859" s="10"/>
      <c r="X859" s="30" t="s">
        <v>185</v>
      </c>
      <c r="Y859" s="30" t="s">
        <v>185</v>
      </c>
      <c r="Z859" s="33"/>
      <c r="AA859" s="33"/>
    </row>
    <row r="860">
      <c r="B860" s="10"/>
      <c r="X860" s="30" t="s">
        <v>185</v>
      </c>
      <c r="Y860" s="30" t="s">
        <v>185</v>
      </c>
      <c r="Z860" s="33"/>
      <c r="AA860" s="33"/>
    </row>
    <row r="861">
      <c r="B861" s="10"/>
      <c r="X861" s="30" t="s">
        <v>185</v>
      </c>
      <c r="Y861" s="30" t="s">
        <v>185</v>
      </c>
      <c r="Z861" s="33"/>
      <c r="AA861" s="33"/>
    </row>
    <row r="862">
      <c r="B862" s="10"/>
      <c r="X862" s="30" t="s">
        <v>185</v>
      </c>
      <c r="Y862" s="30" t="s">
        <v>185</v>
      </c>
      <c r="Z862" s="33"/>
      <c r="AA862" s="33"/>
    </row>
    <row r="863">
      <c r="B863" s="10"/>
      <c r="X863" s="30" t="s">
        <v>185</v>
      </c>
      <c r="Y863" s="30" t="s">
        <v>185</v>
      </c>
      <c r="Z863" s="33"/>
      <c r="AA863" s="33"/>
    </row>
    <row r="864">
      <c r="B864" s="10"/>
      <c r="X864" s="30" t="s">
        <v>185</v>
      </c>
      <c r="Y864" s="30" t="s">
        <v>185</v>
      </c>
      <c r="Z864" s="33"/>
      <c r="AA864" s="33"/>
    </row>
    <row r="865">
      <c r="B865" s="10"/>
      <c r="X865" s="30" t="s">
        <v>185</v>
      </c>
      <c r="Y865" s="30" t="s">
        <v>185</v>
      </c>
      <c r="Z865" s="33"/>
      <c r="AA865" s="33"/>
    </row>
    <row r="866">
      <c r="B866" s="10"/>
      <c r="X866" s="30" t="s">
        <v>185</v>
      </c>
      <c r="Y866" s="30" t="s">
        <v>185</v>
      </c>
      <c r="Z866" s="33"/>
      <c r="AA866" s="33"/>
    </row>
    <row r="867">
      <c r="B867" s="10"/>
      <c r="X867" s="30" t="s">
        <v>185</v>
      </c>
      <c r="Y867" s="30" t="s">
        <v>185</v>
      </c>
      <c r="Z867" s="33"/>
      <c r="AA867" s="33"/>
    </row>
    <row r="868">
      <c r="B868" s="10"/>
      <c r="X868" s="30" t="s">
        <v>185</v>
      </c>
      <c r="Y868" s="30" t="s">
        <v>185</v>
      </c>
      <c r="Z868" s="33"/>
      <c r="AA868" s="33"/>
    </row>
    <row r="869">
      <c r="B869" s="10"/>
      <c r="X869" s="30" t="s">
        <v>185</v>
      </c>
      <c r="Y869" s="30" t="s">
        <v>185</v>
      </c>
      <c r="Z869" s="33"/>
      <c r="AA869" s="33"/>
    </row>
    <row r="870">
      <c r="B870" s="10"/>
      <c r="X870" s="30" t="s">
        <v>185</v>
      </c>
      <c r="Y870" s="30" t="s">
        <v>185</v>
      </c>
      <c r="Z870" s="33"/>
      <c r="AA870" s="33"/>
    </row>
    <row r="871">
      <c r="B871" s="10"/>
      <c r="X871" s="30" t="s">
        <v>185</v>
      </c>
      <c r="Y871" s="30" t="s">
        <v>185</v>
      </c>
      <c r="Z871" s="33"/>
      <c r="AA871" s="33"/>
    </row>
    <row r="872">
      <c r="B872" s="10"/>
      <c r="X872" s="30" t="s">
        <v>185</v>
      </c>
      <c r="Y872" s="30" t="s">
        <v>185</v>
      </c>
      <c r="Z872" s="33"/>
      <c r="AA872" s="33"/>
    </row>
    <row r="873">
      <c r="B873" s="10"/>
      <c r="X873" s="30" t="s">
        <v>185</v>
      </c>
      <c r="Y873" s="30" t="s">
        <v>185</v>
      </c>
      <c r="Z873" s="33"/>
      <c r="AA873" s="33"/>
    </row>
    <row r="874">
      <c r="B874" s="10"/>
      <c r="X874" s="30" t="s">
        <v>185</v>
      </c>
      <c r="Y874" s="30" t="s">
        <v>185</v>
      </c>
      <c r="Z874" s="33"/>
      <c r="AA874" s="33"/>
    </row>
    <row r="875">
      <c r="B875" s="10"/>
      <c r="X875" s="30" t="s">
        <v>185</v>
      </c>
      <c r="Y875" s="30" t="s">
        <v>185</v>
      </c>
      <c r="Z875" s="33"/>
      <c r="AA875" s="33"/>
    </row>
    <row r="876">
      <c r="B876" s="10"/>
      <c r="X876" s="30" t="s">
        <v>185</v>
      </c>
      <c r="Y876" s="30" t="s">
        <v>185</v>
      </c>
      <c r="Z876" s="33"/>
      <c r="AA876" s="33"/>
    </row>
    <row r="877">
      <c r="B877" s="10"/>
      <c r="X877" s="30" t="s">
        <v>185</v>
      </c>
      <c r="Y877" s="30" t="s">
        <v>185</v>
      </c>
      <c r="Z877" s="33"/>
      <c r="AA877" s="33"/>
    </row>
    <row r="878">
      <c r="B878" s="10"/>
      <c r="X878" s="30" t="s">
        <v>185</v>
      </c>
      <c r="Y878" s="30" t="s">
        <v>185</v>
      </c>
      <c r="Z878" s="33"/>
      <c r="AA878" s="33"/>
    </row>
    <row r="879">
      <c r="B879" s="10"/>
      <c r="X879" s="30" t="s">
        <v>185</v>
      </c>
      <c r="Y879" s="30" t="s">
        <v>185</v>
      </c>
      <c r="Z879" s="33"/>
      <c r="AA879" s="33"/>
    </row>
    <row r="880">
      <c r="B880" s="10"/>
      <c r="X880" s="30" t="s">
        <v>185</v>
      </c>
      <c r="Y880" s="30" t="s">
        <v>185</v>
      </c>
      <c r="Z880" s="33"/>
      <c r="AA880" s="33"/>
    </row>
    <row r="881">
      <c r="B881" s="10"/>
      <c r="X881" s="30" t="s">
        <v>185</v>
      </c>
      <c r="Y881" s="30" t="s">
        <v>185</v>
      </c>
      <c r="Z881" s="33"/>
      <c r="AA881" s="33"/>
    </row>
    <row r="882">
      <c r="B882" s="10"/>
      <c r="X882" s="30" t="s">
        <v>185</v>
      </c>
      <c r="Y882" s="30" t="s">
        <v>185</v>
      </c>
      <c r="Z882" s="33"/>
      <c r="AA882" s="33"/>
    </row>
    <row r="883">
      <c r="B883" s="10"/>
      <c r="X883" s="30" t="s">
        <v>185</v>
      </c>
      <c r="Y883" s="30" t="s">
        <v>185</v>
      </c>
      <c r="Z883" s="33"/>
      <c r="AA883" s="33"/>
    </row>
    <row r="884">
      <c r="B884" s="10"/>
      <c r="X884" s="30" t="s">
        <v>185</v>
      </c>
      <c r="Y884" s="30" t="s">
        <v>185</v>
      </c>
      <c r="Z884" s="33"/>
      <c r="AA884" s="33"/>
    </row>
    <row r="885">
      <c r="B885" s="10"/>
      <c r="X885" s="30" t="s">
        <v>185</v>
      </c>
      <c r="Y885" s="30" t="s">
        <v>185</v>
      </c>
      <c r="Z885" s="33"/>
      <c r="AA885" s="33"/>
    </row>
    <row r="886">
      <c r="B886" s="10"/>
      <c r="X886" s="30" t="s">
        <v>185</v>
      </c>
      <c r="Y886" s="30" t="s">
        <v>185</v>
      </c>
      <c r="Z886" s="33"/>
      <c r="AA886" s="33"/>
    </row>
    <row r="887">
      <c r="B887" s="10"/>
      <c r="X887" s="30" t="s">
        <v>185</v>
      </c>
      <c r="Y887" s="30" t="s">
        <v>185</v>
      </c>
      <c r="Z887" s="33"/>
      <c r="AA887" s="33"/>
    </row>
    <row r="888">
      <c r="B888" s="10"/>
      <c r="X888" s="30" t="s">
        <v>185</v>
      </c>
      <c r="Y888" s="30" t="s">
        <v>185</v>
      </c>
      <c r="Z888" s="33"/>
      <c r="AA888" s="33"/>
    </row>
    <row r="889">
      <c r="B889" s="10"/>
      <c r="X889" s="30" t="s">
        <v>185</v>
      </c>
      <c r="Y889" s="30" t="s">
        <v>185</v>
      </c>
      <c r="Z889" s="33"/>
      <c r="AA889" s="33"/>
    </row>
    <row r="890">
      <c r="B890" s="10"/>
      <c r="X890" s="30" t="s">
        <v>185</v>
      </c>
      <c r="Y890" s="30" t="s">
        <v>185</v>
      </c>
      <c r="Z890" s="33"/>
      <c r="AA890" s="33"/>
    </row>
    <row r="891">
      <c r="B891" s="10"/>
      <c r="X891" s="30" t="s">
        <v>185</v>
      </c>
      <c r="Y891" s="30" t="s">
        <v>185</v>
      </c>
      <c r="Z891" s="33"/>
      <c r="AA891" s="33"/>
    </row>
    <row r="892">
      <c r="B892" s="10"/>
      <c r="X892" s="30" t="s">
        <v>185</v>
      </c>
      <c r="Y892" s="30" t="s">
        <v>185</v>
      </c>
      <c r="Z892" s="33"/>
      <c r="AA892" s="33"/>
    </row>
    <row r="893">
      <c r="B893" s="10"/>
      <c r="X893" s="30" t="s">
        <v>185</v>
      </c>
      <c r="Y893" s="30" t="s">
        <v>185</v>
      </c>
      <c r="Z893" s="33"/>
      <c r="AA893" s="33"/>
    </row>
    <row r="894">
      <c r="B894" s="10"/>
      <c r="X894" s="30" t="s">
        <v>185</v>
      </c>
      <c r="Y894" s="30" t="s">
        <v>185</v>
      </c>
      <c r="Z894" s="33"/>
      <c r="AA894" s="33"/>
    </row>
    <row r="895">
      <c r="B895" s="10"/>
      <c r="X895" s="30" t="s">
        <v>185</v>
      </c>
      <c r="Y895" s="30" t="s">
        <v>185</v>
      </c>
      <c r="Z895" s="33"/>
      <c r="AA895" s="33"/>
    </row>
    <row r="896">
      <c r="B896" s="10"/>
      <c r="X896" s="30" t="s">
        <v>185</v>
      </c>
      <c r="Y896" s="30" t="s">
        <v>185</v>
      </c>
      <c r="Z896" s="33"/>
      <c r="AA896" s="33"/>
    </row>
    <row r="897">
      <c r="B897" s="10"/>
      <c r="X897" s="30" t="s">
        <v>185</v>
      </c>
      <c r="Y897" s="30" t="s">
        <v>185</v>
      </c>
      <c r="Z897" s="33"/>
      <c r="AA897" s="33"/>
    </row>
    <row r="898">
      <c r="B898" s="10"/>
      <c r="X898" s="30" t="s">
        <v>185</v>
      </c>
      <c r="Y898" s="30" t="s">
        <v>185</v>
      </c>
      <c r="Z898" s="33"/>
      <c r="AA898" s="33"/>
    </row>
    <row r="899">
      <c r="B899" s="10"/>
      <c r="X899" s="30" t="s">
        <v>185</v>
      </c>
      <c r="Y899" s="30" t="s">
        <v>185</v>
      </c>
      <c r="Z899" s="33"/>
      <c r="AA899" s="33"/>
    </row>
    <row r="900">
      <c r="B900" s="10"/>
      <c r="X900" s="30" t="s">
        <v>185</v>
      </c>
      <c r="Y900" s="30" t="s">
        <v>185</v>
      </c>
      <c r="Z900" s="33"/>
      <c r="AA900" s="33"/>
    </row>
    <row r="901">
      <c r="B901" s="10"/>
      <c r="X901" s="30" t="s">
        <v>185</v>
      </c>
      <c r="Y901" s="30" t="s">
        <v>185</v>
      </c>
      <c r="Z901" s="33"/>
      <c r="AA901" s="33"/>
    </row>
    <row r="902">
      <c r="B902" s="10"/>
      <c r="X902" s="30" t="s">
        <v>185</v>
      </c>
      <c r="Y902" s="30" t="s">
        <v>185</v>
      </c>
      <c r="Z902" s="33"/>
      <c r="AA902" s="33"/>
    </row>
    <row r="903">
      <c r="B903" s="10"/>
      <c r="X903" s="30" t="s">
        <v>185</v>
      </c>
      <c r="Y903" s="30" t="s">
        <v>185</v>
      </c>
      <c r="Z903" s="33"/>
      <c r="AA903" s="33"/>
    </row>
    <row r="904">
      <c r="B904" s="10"/>
      <c r="X904" s="30" t="s">
        <v>185</v>
      </c>
      <c r="Y904" s="30" t="s">
        <v>185</v>
      </c>
      <c r="Z904" s="33"/>
      <c r="AA904" s="33"/>
    </row>
    <row r="905">
      <c r="B905" s="10"/>
      <c r="X905" s="30" t="s">
        <v>185</v>
      </c>
      <c r="Y905" s="30" t="s">
        <v>185</v>
      </c>
      <c r="Z905" s="33"/>
      <c r="AA905" s="33"/>
    </row>
    <row r="906">
      <c r="B906" s="10"/>
      <c r="X906" s="30" t="s">
        <v>185</v>
      </c>
      <c r="Y906" s="30" t="s">
        <v>185</v>
      </c>
      <c r="Z906" s="33"/>
      <c r="AA906" s="33"/>
    </row>
    <row r="907">
      <c r="B907" s="10"/>
      <c r="X907" s="30" t="s">
        <v>185</v>
      </c>
      <c r="Y907" s="30" t="s">
        <v>185</v>
      </c>
      <c r="Z907" s="33"/>
      <c r="AA907" s="33"/>
    </row>
    <row r="908">
      <c r="B908" s="10"/>
      <c r="X908" s="30" t="s">
        <v>185</v>
      </c>
      <c r="Y908" s="30" t="s">
        <v>185</v>
      </c>
      <c r="Z908" s="33"/>
      <c r="AA908" s="33"/>
    </row>
    <row r="909">
      <c r="B909" s="10"/>
      <c r="X909" s="30" t="s">
        <v>185</v>
      </c>
      <c r="Y909" s="30" t="s">
        <v>185</v>
      </c>
      <c r="Z909" s="33"/>
      <c r="AA909" s="33"/>
    </row>
    <row r="910">
      <c r="B910" s="10"/>
      <c r="X910" s="30" t="s">
        <v>185</v>
      </c>
      <c r="Y910" s="30" t="s">
        <v>185</v>
      </c>
      <c r="Z910" s="33"/>
      <c r="AA910" s="33"/>
    </row>
    <row r="911">
      <c r="B911" s="10"/>
      <c r="X911" s="30" t="s">
        <v>185</v>
      </c>
      <c r="Y911" s="30" t="s">
        <v>185</v>
      </c>
      <c r="Z911" s="33"/>
      <c r="AA911" s="33"/>
    </row>
    <row r="912">
      <c r="B912" s="10"/>
      <c r="X912" s="30" t="s">
        <v>185</v>
      </c>
      <c r="Y912" s="30" t="s">
        <v>185</v>
      </c>
      <c r="Z912" s="33"/>
      <c r="AA912" s="33"/>
    </row>
    <row r="913">
      <c r="B913" s="10"/>
      <c r="X913" s="30" t="s">
        <v>185</v>
      </c>
      <c r="Y913" s="30" t="s">
        <v>185</v>
      </c>
      <c r="Z913" s="33"/>
      <c r="AA913" s="33"/>
    </row>
    <row r="914">
      <c r="B914" s="10"/>
      <c r="X914" s="30" t="s">
        <v>185</v>
      </c>
      <c r="Y914" s="30" t="s">
        <v>185</v>
      </c>
      <c r="Z914" s="33"/>
      <c r="AA914" s="33"/>
    </row>
    <row r="915">
      <c r="B915" s="10"/>
      <c r="X915" s="30" t="s">
        <v>185</v>
      </c>
      <c r="Y915" s="30" t="s">
        <v>185</v>
      </c>
      <c r="Z915" s="33"/>
      <c r="AA915" s="33"/>
    </row>
    <row r="916">
      <c r="B916" s="10"/>
      <c r="X916" s="30" t="s">
        <v>185</v>
      </c>
      <c r="Y916" s="30" t="s">
        <v>185</v>
      </c>
      <c r="Z916" s="33"/>
      <c r="AA916" s="33"/>
    </row>
    <row r="917">
      <c r="B917" s="10"/>
      <c r="X917" s="30" t="s">
        <v>185</v>
      </c>
      <c r="Y917" s="30" t="s">
        <v>185</v>
      </c>
      <c r="Z917" s="33"/>
      <c r="AA917" s="33"/>
    </row>
    <row r="918">
      <c r="B918" s="10"/>
      <c r="X918" s="30" t="s">
        <v>185</v>
      </c>
      <c r="Y918" s="30" t="s">
        <v>185</v>
      </c>
      <c r="Z918" s="33"/>
      <c r="AA918" s="33"/>
    </row>
    <row r="919">
      <c r="B919" s="10"/>
      <c r="X919" s="30" t="s">
        <v>185</v>
      </c>
      <c r="Y919" s="30" t="s">
        <v>185</v>
      </c>
      <c r="Z919" s="33"/>
      <c r="AA919" s="33"/>
    </row>
    <row r="920">
      <c r="B920" s="10"/>
      <c r="X920" s="30" t="s">
        <v>185</v>
      </c>
      <c r="Y920" s="30" t="s">
        <v>185</v>
      </c>
      <c r="Z920" s="33"/>
      <c r="AA920" s="33"/>
    </row>
    <row r="921">
      <c r="B921" s="10"/>
      <c r="X921" s="30" t="s">
        <v>185</v>
      </c>
      <c r="Y921" s="30" t="s">
        <v>185</v>
      </c>
      <c r="Z921" s="33"/>
      <c r="AA921" s="33"/>
    </row>
    <row r="922">
      <c r="B922" s="10"/>
      <c r="X922" s="30" t="s">
        <v>185</v>
      </c>
      <c r="Y922" s="30" t="s">
        <v>185</v>
      </c>
      <c r="Z922" s="33"/>
      <c r="AA922" s="33"/>
    </row>
    <row r="923">
      <c r="B923" s="10"/>
      <c r="X923" s="30" t="s">
        <v>185</v>
      </c>
      <c r="Y923" s="30" t="s">
        <v>185</v>
      </c>
      <c r="Z923" s="33"/>
      <c r="AA923" s="33"/>
    </row>
    <row r="924">
      <c r="B924" s="10"/>
      <c r="X924" s="30" t="s">
        <v>185</v>
      </c>
      <c r="Y924" s="30" t="s">
        <v>185</v>
      </c>
      <c r="Z924" s="33"/>
      <c r="AA924" s="33"/>
    </row>
    <row r="925">
      <c r="B925" s="10"/>
      <c r="X925" s="30" t="s">
        <v>185</v>
      </c>
      <c r="Y925" s="30" t="s">
        <v>185</v>
      </c>
      <c r="Z925" s="33"/>
      <c r="AA925" s="33"/>
    </row>
    <row r="926">
      <c r="B926" s="10"/>
      <c r="X926" s="30" t="s">
        <v>185</v>
      </c>
      <c r="Y926" s="30" t="s">
        <v>185</v>
      </c>
      <c r="Z926" s="33"/>
      <c r="AA926" s="33"/>
    </row>
    <row r="927">
      <c r="B927" s="10"/>
      <c r="X927" s="30" t="s">
        <v>185</v>
      </c>
      <c r="Y927" s="30" t="s">
        <v>185</v>
      </c>
      <c r="Z927" s="33"/>
      <c r="AA927" s="33"/>
    </row>
    <row r="928">
      <c r="B928" s="10"/>
      <c r="X928" s="30" t="s">
        <v>185</v>
      </c>
      <c r="Y928" s="30" t="s">
        <v>185</v>
      </c>
      <c r="Z928" s="33"/>
      <c r="AA928" s="33"/>
    </row>
    <row r="929">
      <c r="B929" s="10"/>
      <c r="X929" s="30" t="s">
        <v>185</v>
      </c>
      <c r="Y929" s="30" t="s">
        <v>185</v>
      </c>
      <c r="Z929" s="33"/>
      <c r="AA929" s="33"/>
    </row>
    <row r="930">
      <c r="B930" s="10"/>
      <c r="X930" s="30" t="s">
        <v>185</v>
      </c>
      <c r="Y930" s="30" t="s">
        <v>185</v>
      </c>
      <c r="Z930" s="33"/>
      <c r="AA930" s="33"/>
    </row>
    <row r="931">
      <c r="B931" s="10"/>
      <c r="X931" s="30" t="s">
        <v>185</v>
      </c>
      <c r="Y931" s="30" t="s">
        <v>185</v>
      </c>
      <c r="Z931" s="33"/>
      <c r="AA931" s="33"/>
    </row>
    <row r="932">
      <c r="B932" s="10"/>
      <c r="X932" s="30" t="s">
        <v>185</v>
      </c>
      <c r="Y932" s="30" t="s">
        <v>185</v>
      </c>
      <c r="Z932" s="33"/>
      <c r="AA932" s="33"/>
    </row>
    <row r="933">
      <c r="B933" s="10"/>
      <c r="X933" s="30" t="s">
        <v>185</v>
      </c>
      <c r="Y933" s="30" t="s">
        <v>185</v>
      </c>
      <c r="Z933" s="33"/>
      <c r="AA933" s="33"/>
    </row>
    <row r="934">
      <c r="B934" s="10"/>
      <c r="X934" s="30" t="s">
        <v>185</v>
      </c>
      <c r="Y934" s="30" t="s">
        <v>185</v>
      </c>
      <c r="Z934" s="33"/>
      <c r="AA934" s="33"/>
    </row>
    <row r="935">
      <c r="B935" s="10"/>
      <c r="X935" s="30" t="s">
        <v>185</v>
      </c>
      <c r="Y935" s="30" t="s">
        <v>185</v>
      </c>
      <c r="Z935" s="33"/>
      <c r="AA935" s="33"/>
    </row>
    <row r="936">
      <c r="B936" s="10"/>
      <c r="X936" s="30" t="s">
        <v>185</v>
      </c>
      <c r="Y936" s="30" t="s">
        <v>185</v>
      </c>
      <c r="Z936" s="33"/>
      <c r="AA936" s="33"/>
    </row>
    <row r="937">
      <c r="B937" s="10"/>
      <c r="X937" s="30" t="s">
        <v>185</v>
      </c>
      <c r="Y937" s="30" t="s">
        <v>185</v>
      </c>
      <c r="Z937" s="33"/>
      <c r="AA937" s="33"/>
    </row>
    <row r="938">
      <c r="B938" s="10"/>
      <c r="X938" s="30" t="s">
        <v>185</v>
      </c>
      <c r="Y938" s="30" t="s">
        <v>185</v>
      </c>
      <c r="Z938" s="33"/>
      <c r="AA938" s="33"/>
    </row>
    <row r="939">
      <c r="B939" s="10"/>
      <c r="X939" s="30" t="s">
        <v>185</v>
      </c>
      <c r="Y939" s="30" t="s">
        <v>185</v>
      </c>
      <c r="Z939" s="33"/>
      <c r="AA939" s="33"/>
    </row>
    <row r="940">
      <c r="B940" s="10"/>
      <c r="X940" s="30" t="s">
        <v>185</v>
      </c>
      <c r="Y940" s="30" t="s">
        <v>185</v>
      </c>
      <c r="Z940" s="33"/>
      <c r="AA940" s="33"/>
    </row>
    <row r="941">
      <c r="B941" s="10"/>
      <c r="X941" s="30" t="s">
        <v>185</v>
      </c>
      <c r="Y941" s="30" t="s">
        <v>185</v>
      </c>
      <c r="Z941" s="33"/>
      <c r="AA941" s="33"/>
    </row>
    <row r="942">
      <c r="B942" s="10"/>
      <c r="X942" s="30" t="s">
        <v>185</v>
      </c>
      <c r="Y942" s="30" t="s">
        <v>185</v>
      </c>
      <c r="Z942" s="33"/>
      <c r="AA942" s="33"/>
    </row>
    <row r="943">
      <c r="B943" s="10"/>
      <c r="X943" s="30" t="s">
        <v>185</v>
      </c>
      <c r="Y943" s="30" t="s">
        <v>185</v>
      </c>
      <c r="Z943" s="33"/>
      <c r="AA943" s="33"/>
    </row>
    <row r="944">
      <c r="B944" s="10"/>
      <c r="X944" s="30" t="s">
        <v>185</v>
      </c>
      <c r="Y944" s="30" t="s">
        <v>185</v>
      </c>
      <c r="Z944" s="33"/>
      <c r="AA944" s="33"/>
    </row>
    <row r="945">
      <c r="B945" s="10"/>
      <c r="X945" s="30" t="s">
        <v>185</v>
      </c>
      <c r="Y945" s="30" t="s">
        <v>185</v>
      </c>
      <c r="Z945" s="33"/>
      <c r="AA945" s="33"/>
    </row>
    <row r="946">
      <c r="B946" s="10"/>
      <c r="X946" s="30" t="s">
        <v>185</v>
      </c>
      <c r="Y946" s="30" t="s">
        <v>185</v>
      </c>
      <c r="Z946" s="33"/>
      <c r="AA946" s="33"/>
    </row>
    <row r="947">
      <c r="B947" s="10"/>
      <c r="X947" s="30" t="s">
        <v>185</v>
      </c>
      <c r="Y947" s="30" t="s">
        <v>185</v>
      </c>
      <c r="Z947" s="33"/>
      <c r="AA947" s="33"/>
    </row>
    <row r="948">
      <c r="B948" s="10"/>
      <c r="X948" s="30" t="s">
        <v>185</v>
      </c>
      <c r="Y948" s="30" t="s">
        <v>185</v>
      </c>
      <c r="Z948" s="33"/>
      <c r="AA948" s="33"/>
    </row>
    <row r="949">
      <c r="B949" s="10"/>
      <c r="X949" s="30" t="s">
        <v>185</v>
      </c>
      <c r="Y949" s="30" t="s">
        <v>185</v>
      </c>
      <c r="Z949" s="33"/>
      <c r="AA949" s="33"/>
    </row>
    <row r="950">
      <c r="B950" s="10"/>
      <c r="X950" s="30" t="s">
        <v>185</v>
      </c>
      <c r="Y950" s="30" t="s">
        <v>185</v>
      </c>
      <c r="Z950" s="33"/>
      <c r="AA950" s="33"/>
    </row>
    <row r="951">
      <c r="B951" s="10"/>
      <c r="X951" s="30" t="s">
        <v>185</v>
      </c>
      <c r="Y951" s="30" t="s">
        <v>185</v>
      </c>
      <c r="Z951" s="33"/>
      <c r="AA951" s="33"/>
    </row>
    <row r="952">
      <c r="B952" s="10"/>
      <c r="X952" s="30" t="s">
        <v>185</v>
      </c>
      <c r="Y952" s="30" t="s">
        <v>185</v>
      </c>
      <c r="Z952" s="33"/>
      <c r="AA952" s="33"/>
    </row>
    <row r="953">
      <c r="B953" s="10"/>
      <c r="X953" s="30" t="s">
        <v>185</v>
      </c>
      <c r="Y953" s="30" t="s">
        <v>185</v>
      </c>
      <c r="Z953" s="33"/>
      <c r="AA953" s="33"/>
    </row>
    <row r="954">
      <c r="B954" s="10"/>
      <c r="X954" s="30" t="s">
        <v>185</v>
      </c>
      <c r="Y954" s="30" t="s">
        <v>185</v>
      </c>
      <c r="Z954" s="33"/>
      <c r="AA954" s="33"/>
    </row>
    <row r="955">
      <c r="B955" s="10"/>
      <c r="X955" s="30" t="s">
        <v>185</v>
      </c>
      <c r="Y955" s="30" t="s">
        <v>185</v>
      </c>
      <c r="Z955" s="33"/>
      <c r="AA955" s="33"/>
    </row>
    <row r="956">
      <c r="B956" s="10"/>
      <c r="X956" s="30" t="s">
        <v>185</v>
      </c>
      <c r="Y956" s="30" t="s">
        <v>185</v>
      </c>
      <c r="Z956" s="33"/>
      <c r="AA956" s="33"/>
    </row>
    <row r="957">
      <c r="B957" s="10"/>
      <c r="X957" s="30" t="s">
        <v>185</v>
      </c>
      <c r="Y957" s="30" t="s">
        <v>185</v>
      </c>
      <c r="Z957" s="33"/>
      <c r="AA957" s="33"/>
    </row>
    <row r="958">
      <c r="B958" s="10"/>
      <c r="X958" s="30" t="s">
        <v>185</v>
      </c>
      <c r="Y958" s="30" t="s">
        <v>185</v>
      </c>
      <c r="Z958" s="33"/>
      <c r="AA958" s="33"/>
    </row>
    <row r="959">
      <c r="B959" s="10"/>
      <c r="X959" s="30" t="s">
        <v>185</v>
      </c>
      <c r="Y959" s="30" t="s">
        <v>185</v>
      </c>
      <c r="Z959" s="33"/>
      <c r="AA959" s="33"/>
    </row>
    <row r="960">
      <c r="B960" s="10"/>
      <c r="X960" s="30" t="s">
        <v>185</v>
      </c>
      <c r="Y960" s="30" t="s">
        <v>185</v>
      </c>
      <c r="Z960" s="33"/>
      <c r="AA960" s="33"/>
    </row>
    <row r="961">
      <c r="B961" s="10"/>
      <c r="X961" s="30" t="s">
        <v>185</v>
      </c>
      <c r="Y961" s="30" t="s">
        <v>185</v>
      </c>
      <c r="Z961" s="33"/>
      <c r="AA961" s="33"/>
    </row>
    <row r="962">
      <c r="B962" s="10"/>
      <c r="X962" s="30" t="s">
        <v>185</v>
      </c>
      <c r="Y962" s="30" t="s">
        <v>185</v>
      </c>
      <c r="Z962" s="33"/>
      <c r="AA962" s="33"/>
    </row>
    <row r="963">
      <c r="B963" s="10"/>
      <c r="X963" s="30" t="s">
        <v>185</v>
      </c>
      <c r="Y963" s="30" t="s">
        <v>185</v>
      </c>
      <c r="Z963" s="33"/>
      <c r="AA963" s="33"/>
    </row>
    <row r="964">
      <c r="B964" s="10"/>
      <c r="X964" s="30" t="s">
        <v>185</v>
      </c>
      <c r="Y964" s="30" t="s">
        <v>185</v>
      </c>
      <c r="Z964" s="33"/>
      <c r="AA964" s="33"/>
    </row>
    <row r="965">
      <c r="B965" s="10"/>
      <c r="X965" s="30" t="s">
        <v>185</v>
      </c>
      <c r="Y965" s="30" t="s">
        <v>185</v>
      </c>
      <c r="Z965" s="33"/>
      <c r="AA965" s="33"/>
    </row>
    <row r="966">
      <c r="B966" s="10"/>
      <c r="X966" s="30" t="s">
        <v>185</v>
      </c>
      <c r="Y966" s="30" t="s">
        <v>185</v>
      </c>
      <c r="Z966" s="33"/>
      <c r="AA966" s="33"/>
    </row>
    <row r="967">
      <c r="B967" s="10"/>
      <c r="X967" s="30" t="s">
        <v>185</v>
      </c>
      <c r="Y967" s="30" t="s">
        <v>185</v>
      </c>
      <c r="Z967" s="33"/>
      <c r="AA967" s="33"/>
    </row>
    <row r="968">
      <c r="B968" s="10"/>
      <c r="X968" s="30" t="s">
        <v>185</v>
      </c>
      <c r="Y968" s="30" t="s">
        <v>185</v>
      </c>
      <c r="Z968" s="33"/>
      <c r="AA968" s="33"/>
    </row>
    <row r="969">
      <c r="B969" s="10"/>
      <c r="X969" s="30" t="s">
        <v>185</v>
      </c>
      <c r="Y969" s="30" t="s">
        <v>185</v>
      </c>
      <c r="Z969" s="33"/>
      <c r="AA969" s="33"/>
    </row>
    <row r="970">
      <c r="B970" s="10"/>
      <c r="X970" s="30" t="s">
        <v>185</v>
      </c>
      <c r="Y970" s="30" t="s">
        <v>185</v>
      </c>
      <c r="Z970" s="33"/>
      <c r="AA970" s="33"/>
    </row>
    <row r="971">
      <c r="B971" s="10"/>
      <c r="X971" s="30" t="s">
        <v>185</v>
      </c>
      <c r="Y971" s="30" t="s">
        <v>185</v>
      </c>
      <c r="Z971" s="33"/>
      <c r="AA971" s="33"/>
    </row>
    <row r="972">
      <c r="B972" s="10"/>
      <c r="X972" s="30" t="s">
        <v>185</v>
      </c>
      <c r="Y972" s="30" t="s">
        <v>185</v>
      </c>
      <c r="Z972" s="33"/>
      <c r="AA972" s="33"/>
    </row>
    <row r="973">
      <c r="B973" s="10"/>
      <c r="X973" s="30" t="s">
        <v>185</v>
      </c>
      <c r="Y973" s="30" t="s">
        <v>185</v>
      </c>
      <c r="Z973" s="33"/>
      <c r="AA973" s="33"/>
    </row>
    <row r="974">
      <c r="B974" s="10"/>
      <c r="X974" s="30" t="s">
        <v>185</v>
      </c>
      <c r="Y974" s="30" t="s">
        <v>185</v>
      </c>
      <c r="Z974" s="33"/>
      <c r="AA974" s="33"/>
    </row>
    <row r="975">
      <c r="B975" s="10"/>
      <c r="X975" s="30" t="s">
        <v>185</v>
      </c>
      <c r="Y975" s="30" t="s">
        <v>185</v>
      </c>
      <c r="Z975" s="33"/>
      <c r="AA975" s="33"/>
    </row>
    <row r="976">
      <c r="B976" s="10"/>
      <c r="X976" s="30" t="s">
        <v>185</v>
      </c>
      <c r="Y976" s="30" t="s">
        <v>185</v>
      </c>
      <c r="Z976" s="33"/>
      <c r="AA976" s="33"/>
    </row>
    <row r="977">
      <c r="B977" s="10"/>
      <c r="X977" s="30" t="s">
        <v>185</v>
      </c>
      <c r="Y977" s="30" t="s">
        <v>185</v>
      </c>
      <c r="Z977" s="33"/>
      <c r="AA977" s="33"/>
    </row>
    <row r="978">
      <c r="B978" s="10"/>
      <c r="X978" s="30" t="s">
        <v>185</v>
      </c>
      <c r="Y978" s="30" t="s">
        <v>185</v>
      </c>
      <c r="Z978" s="33"/>
      <c r="AA978" s="33"/>
    </row>
    <row r="979">
      <c r="B979" s="10"/>
      <c r="X979" s="30" t="s">
        <v>185</v>
      </c>
      <c r="Y979" s="30" t="s">
        <v>185</v>
      </c>
      <c r="Z979" s="33"/>
      <c r="AA979" s="33"/>
    </row>
    <row r="980">
      <c r="B980" s="10"/>
      <c r="X980" s="30" t="s">
        <v>185</v>
      </c>
      <c r="Y980" s="30" t="s">
        <v>185</v>
      </c>
      <c r="Z980" s="33"/>
      <c r="AA980" s="33"/>
    </row>
    <row r="981">
      <c r="B981" s="10"/>
      <c r="X981" s="30" t="s">
        <v>185</v>
      </c>
      <c r="Y981" s="30" t="s">
        <v>185</v>
      </c>
      <c r="Z981" s="33"/>
      <c r="AA981" s="33"/>
    </row>
    <row r="982">
      <c r="B982" s="10"/>
      <c r="X982" s="30" t="s">
        <v>185</v>
      </c>
      <c r="Y982" s="30" t="s">
        <v>185</v>
      </c>
      <c r="Z982" s="33"/>
      <c r="AA982" s="33"/>
    </row>
    <row r="983">
      <c r="B983" s="10"/>
      <c r="X983" s="30" t="s">
        <v>185</v>
      </c>
      <c r="Y983" s="30" t="s">
        <v>185</v>
      </c>
      <c r="Z983" s="33"/>
      <c r="AA983" s="33"/>
    </row>
    <row r="984">
      <c r="B984" s="10"/>
      <c r="X984" s="30" t="s">
        <v>185</v>
      </c>
      <c r="Y984" s="30" t="s">
        <v>185</v>
      </c>
      <c r="Z984" s="33"/>
      <c r="AA984" s="33"/>
    </row>
    <row r="985">
      <c r="B985" s="10"/>
      <c r="X985" s="30" t="s">
        <v>185</v>
      </c>
      <c r="Y985" s="30" t="s">
        <v>185</v>
      </c>
      <c r="Z985" s="33"/>
      <c r="AA985" s="33"/>
    </row>
    <row r="986">
      <c r="B986" s="10"/>
      <c r="X986" s="30" t="s">
        <v>185</v>
      </c>
      <c r="Y986" s="30" t="s">
        <v>185</v>
      </c>
      <c r="Z986" s="33"/>
      <c r="AA986" s="33"/>
    </row>
    <row r="987">
      <c r="B987" s="10"/>
      <c r="X987" s="30" t="s">
        <v>185</v>
      </c>
      <c r="Y987" s="30" t="s">
        <v>185</v>
      </c>
      <c r="Z987" s="33"/>
      <c r="AA987" s="33"/>
    </row>
    <row r="988">
      <c r="B988" s="10"/>
      <c r="X988" s="30" t="s">
        <v>185</v>
      </c>
      <c r="Y988" s="30" t="s">
        <v>185</v>
      </c>
      <c r="Z988" s="33"/>
      <c r="AA988" s="33"/>
    </row>
    <row r="989">
      <c r="B989" s="10"/>
      <c r="X989" s="30" t="s">
        <v>185</v>
      </c>
      <c r="Y989" s="30" t="s">
        <v>185</v>
      </c>
      <c r="Z989" s="33"/>
      <c r="AA989" s="33"/>
    </row>
    <row r="990">
      <c r="B990" s="10"/>
      <c r="X990" s="30" t="s">
        <v>185</v>
      </c>
      <c r="Y990" s="30" t="s">
        <v>185</v>
      </c>
      <c r="Z990" s="33"/>
      <c r="AA990" s="33"/>
    </row>
    <row r="991">
      <c r="B991" s="10"/>
      <c r="X991" s="30" t="s">
        <v>185</v>
      </c>
      <c r="Y991" s="30" t="s">
        <v>185</v>
      </c>
      <c r="Z991" s="33"/>
      <c r="AA991" s="33"/>
    </row>
    <row r="992">
      <c r="B992" s="10"/>
      <c r="X992" s="30" t="s">
        <v>185</v>
      </c>
      <c r="Y992" s="30" t="s">
        <v>185</v>
      </c>
      <c r="Z992" s="33"/>
      <c r="AA992" s="33"/>
    </row>
    <row r="993">
      <c r="B993" s="10"/>
      <c r="X993" s="30" t="s">
        <v>185</v>
      </c>
      <c r="Y993" s="30" t="s">
        <v>185</v>
      </c>
      <c r="Z993" s="33"/>
      <c r="AA993" s="33"/>
    </row>
    <row r="994">
      <c r="B994" s="10"/>
      <c r="X994" s="30" t="s">
        <v>185</v>
      </c>
      <c r="Y994" s="30" t="s">
        <v>185</v>
      </c>
      <c r="Z994" s="33"/>
      <c r="AA994" s="33"/>
    </row>
    <row r="995">
      <c r="B995" s="10"/>
      <c r="X995" s="30" t="s">
        <v>185</v>
      </c>
      <c r="Y995" s="30" t="s">
        <v>185</v>
      </c>
      <c r="Z995" s="33"/>
      <c r="AA995" s="33"/>
    </row>
    <row r="996">
      <c r="B996" s="10"/>
      <c r="X996" s="30" t="s">
        <v>185</v>
      </c>
      <c r="Y996" s="30" t="s">
        <v>185</v>
      </c>
      <c r="Z996" s="33"/>
      <c r="AA996" s="33"/>
    </row>
    <row r="997">
      <c r="B997" s="10"/>
      <c r="X997" s="30" t="s">
        <v>185</v>
      </c>
      <c r="Y997" s="30" t="s">
        <v>185</v>
      </c>
      <c r="Z997" s="33"/>
      <c r="AA997" s="33"/>
    </row>
    <row r="998">
      <c r="B998" s="10"/>
      <c r="X998" s="30" t="s">
        <v>185</v>
      </c>
      <c r="Y998" s="30" t="s">
        <v>185</v>
      </c>
      <c r="Z998" s="33"/>
      <c r="AA998" s="33"/>
    </row>
    <row r="999">
      <c r="B999" s="10"/>
      <c r="X999" s="30" t="s">
        <v>185</v>
      </c>
      <c r="Y999" s="30" t="s">
        <v>185</v>
      </c>
      <c r="Z999" s="33"/>
      <c r="AA999" s="33"/>
    </row>
    <row r="1000">
      <c r="B1000" s="10"/>
      <c r="X1000" s="30" t="s">
        <v>185</v>
      </c>
      <c r="Y1000" s="30" t="s">
        <v>185</v>
      </c>
      <c r="Z1000" s="33"/>
      <c r="AA1000" s="33"/>
    </row>
    <row r="1001">
      <c r="B1001" s="10"/>
      <c r="X1001" s="30" t="s">
        <v>185</v>
      </c>
      <c r="Y1001" s="30" t="s">
        <v>185</v>
      </c>
      <c r="Z1001" s="33"/>
      <c r="AA1001" s="33"/>
    </row>
    <row r="1002">
      <c r="B1002" s="10"/>
      <c r="X1002" s="30" t="s">
        <v>185</v>
      </c>
      <c r="Y1002" s="30" t="s">
        <v>185</v>
      </c>
      <c r="Z1002" s="33"/>
      <c r="AA1002" s="33"/>
    </row>
    <row r="1003">
      <c r="B1003" s="10"/>
      <c r="X1003" s="30" t="s">
        <v>185</v>
      </c>
      <c r="Y1003" s="30" t="s">
        <v>185</v>
      </c>
      <c r="Z1003" s="33"/>
      <c r="AA1003" s="33"/>
    </row>
    <row r="1004">
      <c r="B1004" s="10"/>
      <c r="X1004" s="30" t="s">
        <v>185</v>
      </c>
      <c r="Y1004" s="30" t="s">
        <v>185</v>
      </c>
      <c r="Z1004" s="33"/>
      <c r="AA1004" s="33"/>
    </row>
    <row r="1005">
      <c r="B1005" s="10"/>
      <c r="X1005" s="30" t="s">
        <v>185</v>
      </c>
      <c r="Y1005" s="30" t="s">
        <v>185</v>
      </c>
      <c r="Z1005" s="33"/>
      <c r="AA1005" s="33"/>
    </row>
    <row r="1006">
      <c r="B1006" s="10"/>
      <c r="X1006" s="30" t="s">
        <v>185</v>
      </c>
      <c r="Y1006" s="30" t="s">
        <v>185</v>
      </c>
      <c r="Z1006" s="33"/>
      <c r="AA1006" s="33"/>
    </row>
    <row r="1007">
      <c r="B1007" s="10"/>
      <c r="X1007" s="30" t="s">
        <v>185</v>
      </c>
      <c r="Y1007" s="30" t="s">
        <v>185</v>
      </c>
      <c r="Z1007" s="33"/>
      <c r="AA1007" s="33"/>
    </row>
    <row r="1008">
      <c r="B1008" s="10"/>
      <c r="X1008" s="30" t="s">
        <v>185</v>
      </c>
      <c r="Y1008" s="30" t="s">
        <v>185</v>
      </c>
      <c r="Z1008" s="33"/>
      <c r="AA1008" s="33"/>
    </row>
    <row r="1009">
      <c r="B1009" s="10"/>
      <c r="X1009" s="30" t="s">
        <v>185</v>
      </c>
      <c r="Y1009" s="30" t="s">
        <v>185</v>
      </c>
      <c r="Z1009" s="33"/>
      <c r="AA1009" s="33"/>
    </row>
    <row r="1010">
      <c r="B1010" s="10"/>
      <c r="X1010" s="30" t="s">
        <v>185</v>
      </c>
      <c r="Y1010" s="30" t="s">
        <v>185</v>
      </c>
      <c r="Z1010" s="33"/>
      <c r="AA1010" s="33"/>
    </row>
    <row r="1011">
      <c r="B1011" s="10"/>
      <c r="X1011" s="30" t="s">
        <v>185</v>
      </c>
      <c r="Y1011" s="30" t="s">
        <v>185</v>
      </c>
      <c r="Z1011" s="33"/>
      <c r="AA1011" s="33"/>
    </row>
    <row r="1012">
      <c r="B1012" s="10"/>
      <c r="X1012" s="30" t="s">
        <v>185</v>
      </c>
      <c r="Y1012" s="30" t="s">
        <v>185</v>
      </c>
      <c r="Z1012" s="33"/>
      <c r="AA1012" s="33"/>
    </row>
    <row r="1013">
      <c r="B1013" s="10"/>
      <c r="X1013" s="30" t="s">
        <v>185</v>
      </c>
      <c r="Y1013" s="30" t="s">
        <v>185</v>
      </c>
      <c r="Z1013" s="33"/>
      <c r="AA1013" s="33"/>
    </row>
    <row r="1014">
      <c r="B1014" s="10"/>
      <c r="X1014" s="30" t="s">
        <v>185</v>
      </c>
      <c r="Y1014" s="30" t="s">
        <v>185</v>
      </c>
      <c r="Z1014" s="33"/>
      <c r="AA1014" s="33"/>
    </row>
    <row r="1015">
      <c r="B1015" s="10"/>
      <c r="X1015" s="30" t="s">
        <v>185</v>
      </c>
      <c r="Y1015" s="30" t="s">
        <v>185</v>
      </c>
      <c r="Z1015" s="33"/>
      <c r="AA1015" s="33"/>
    </row>
    <row r="1016">
      <c r="B1016" s="10"/>
      <c r="X1016" s="30" t="s">
        <v>185</v>
      </c>
      <c r="Y1016" s="30" t="s">
        <v>185</v>
      </c>
      <c r="Z1016" s="33"/>
      <c r="AA1016" s="33"/>
    </row>
    <row r="1017">
      <c r="B1017" s="10"/>
      <c r="X1017" s="30" t="s">
        <v>185</v>
      </c>
      <c r="Y1017" s="30" t="s">
        <v>185</v>
      </c>
      <c r="Z1017" s="33"/>
      <c r="AA1017" s="33"/>
    </row>
    <row r="1018">
      <c r="B1018" s="10"/>
      <c r="X1018" s="30" t="s">
        <v>185</v>
      </c>
      <c r="Y1018" s="30" t="s">
        <v>185</v>
      </c>
      <c r="Z1018" s="33"/>
      <c r="AA1018" s="33"/>
    </row>
    <row r="1019">
      <c r="B1019" s="10"/>
      <c r="X1019" s="30" t="s">
        <v>185</v>
      </c>
      <c r="Y1019" s="30" t="s">
        <v>185</v>
      </c>
      <c r="Z1019" s="33"/>
      <c r="AA1019" s="33"/>
    </row>
    <row r="1020">
      <c r="B1020" s="10"/>
      <c r="X1020" s="30" t="s">
        <v>185</v>
      </c>
      <c r="Y1020" s="30" t="s">
        <v>185</v>
      </c>
      <c r="Z1020" s="33"/>
      <c r="AA1020" s="33"/>
    </row>
    <row r="1021">
      <c r="B1021" s="10"/>
      <c r="X1021" s="30" t="s">
        <v>185</v>
      </c>
      <c r="Y1021" s="30" t="s">
        <v>185</v>
      </c>
      <c r="Z1021" s="33"/>
      <c r="AA1021" s="33"/>
    </row>
    <row r="1022">
      <c r="B1022" s="10"/>
      <c r="X1022" s="30" t="s">
        <v>185</v>
      </c>
      <c r="Y1022" s="30" t="s">
        <v>185</v>
      </c>
      <c r="Z1022" s="33"/>
      <c r="AA1022" s="33"/>
    </row>
    <row r="1023">
      <c r="B1023" s="10"/>
      <c r="X1023" s="30" t="s">
        <v>185</v>
      </c>
      <c r="Y1023" s="30" t="s">
        <v>185</v>
      </c>
      <c r="Z1023" s="33"/>
      <c r="AA1023" s="33"/>
    </row>
    <row r="1024">
      <c r="B1024" s="10"/>
      <c r="X1024" s="30" t="s">
        <v>185</v>
      </c>
      <c r="Y1024" s="30" t="s">
        <v>185</v>
      </c>
      <c r="Z1024" s="33"/>
      <c r="AA1024" s="33"/>
    </row>
    <row r="1025">
      <c r="B1025" s="10"/>
      <c r="X1025" s="30" t="s">
        <v>185</v>
      </c>
      <c r="Y1025" s="30" t="s">
        <v>185</v>
      </c>
      <c r="Z1025" s="33"/>
      <c r="AA1025" s="33"/>
    </row>
    <row r="1026">
      <c r="B1026" s="10"/>
      <c r="X1026" s="30" t="s">
        <v>185</v>
      </c>
      <c r="Y1026" s="30" t="s">
        <v>185</v>
      </c>
      <c r="Z1026" s="33"/>
      <c r="AA1026" s="33"/>
    </row>
    <row r="1027">
      <c r="B1027" s="10"/>
      <c r="X1027" s="30" t="s">
        <v>185</v>
      </c>
      <c r="Y1027" s="30" t="s">
        <v>185</v>
      </c>
      <c r="Z1027" s="33"/>
      <c r="AA1027" s="33"/>
    </row>
    <row r="1028">
      <c r="B1028" s="10"/>
      <c r="X1028" s="30" t="s">
        <v>185</v>
      </c>
      <c r="Y1028" s="30" t="s">
        <v>185</v>
      </c>
      <c r="Z1028" s="33"/>
      <c r="AA1028" s="33"/>
    </row>
    <row r="1029">
      <c r="B1029" s="10"/>
      <c r="X1029" s="30" t="s">
        <v>185</v>
      </c>
      <c r="Y1029" s="30" t="s">
        <v>185</v>
      </c>
      <c r="Z1029" s="33"/>
      <c r="AA1029" s="33"/>
    </row>
    <row r="1030">
      <c r="B1030" s="10"/>
      <c r="X1030" s="30" t="s">
        <v>185</v>
      </c>
      <c r="Y1030" s="30" t="s">
        <v>185</v>
      </c>
      <c r="Z1030" s="33"/>
      <c r="AA1030" s="33"/>
    </row>
    <row r="1031">
      <c r="B1031" s="10"/>
      <c r="X1031" s="30" t="s">
        <v>185</v>
      </c>
      <c r="Y1031" s="30" t="s">
        <v>185</v>
      </c>
      <c r="Z1031" s="33"/>
      <c r="AA1031" s="33"/>
    </row>
    <row r="1032">
      <c r="B1032" s="10"/>
      <c r="X1032" s="30" t="s">
        <v>185</v>
      </c>
      <c r="Y1032" s="30" t="s">
        <v>185</v>
      </c>
      <c r="Z1032" s="33"/>
      <c r="AA1032" s="33"/>
    </row>
    <row r="1033">
      <c r="B1033" s="10"/>
      <c r="X1033" s="30" t="s">
        <v>185</v>
      </c>
      <c r="Y1033" s="30" t="s">
        <v>185</v>
      </c>
      <c r="Z1033" s="33"/>
      <c r="AA1033" s="33"/>
    </row>
    <row r="1034">
      <c r="B1034" s="10"/>
      <c r="X1034" s="30" t="s">
        <v>185</v>
      </c>
      <c r="Y1034" s="30" t="s">
        <v>185</v>
      </c>
      <c r="Z1034" s="33"/>
      <c r="AA1034" s="33"/>
    </row>
    <row r="1035">
      <c r="B1035" s="10"/>
      <c r="X1035" s="30" t="s">
        <v>185</v>
      </c>
      <c r="Y1035" s="30" t="s">
        <v>185</v>
      </c>
      <c r="Z1035" s="33"/>
      <c r="AA1035" s="33"/>
    </row>
    <row r="1036">
      <c r="B1036" s="10"/>
      <c r="X1036" s="30" t="s">
        <v>185</v>
      </c>
      <c r="Y1036" s="30" t="s">
        <v>185</v>
      </c>
      <c r="Z1036" s="33"/>
      <c r="AA1036" s="33"/>
    </row>
    <row r="1037">
      <c r="B1037" s="10"/>
      <c r="X1037" s="30" t="s">
        <v>185</v>
      </c>
      <c r="Y1037" s="30" t="s">
        <v>185</v>
      </c>
      <c r="Z1037" s="33"/>
      <c r="AA1037" s="33"/>
    </row>
    <row r="1038">
      <c r="B1038" s="10"/>
      <c r="X1038" s="30" t="s">
        <v>185</v>
      </c>
      <c r="Y1038" s="30" t="s">
        <v>185</v>
      </c>
      <c r="Z1038" s="33"/>
      <c r="AA1038" s="33"/>
    </row>
    <row r="1039">
      <c r="B1039" s="10"/>
      <c r="X1039" s="30" t="s">
        <v>185</v>
      </c>
      <c r="Y1039" s="30" t="s">
        <v>185</v>
      </c>
      <c r="Z1039" s="33"/>
      <c r="AA1039" s="33"/>
    </row>
    <row r="1040">
      <c r="B1040" s="10"/>
      <c r="X1040" s="30" t="s">
        <v>185</v>
      </c>
      <c r="Y1040" s="30" t="s">
        <v>185</v>
      </c>
      <c r="Z1040" s="33"/>
      <c r="AA1040" s="33"/>
    </row>
    <row r="1041">
      <c r="B1041" s="10"/>
      <c r="X1041" s="30" t="s">
        <v>185</v>
      </c>
      <c r="Y1041" s="30" t="s">
        <v>185</v>
      </c>
      <c r="Z1041" s="33"/>
      <c r="AA1041" s="33"/>
    </row>
    <row r="1042">
      <c r="B1042" s="10"/>
      <c r="X1042" s="30" t="s">
        <v>185</v>
      </c>
      <c r="Y1042" s="30" t="s">
        <v>185</v>
      </c>
      <c r="Z1042" s="33"/>
      <c r="AA1042" s="33"/>
    </row>
    <row r="1043">
      <c r="B1043" s="10"/>
      <c r="X1043" s="30" t="s">
        <v>185</v>
      </c>
      <c r="Y1043" s="30" t="s">
        <v>185</v>
      </c>
      <c r="Z1043" s="33"/>
      <c r="AA1043" s="33"/>
    </row>
    <row r="1044">
      <c r="B1044" s="10"/>
      <c r="X1044" s="30" t="s">
        <v>185</v>
      </c>
      <c r="Y1044" s="30" t="s">
        <v>185</v>
      </c>
      <c r="Z1044" s="33"/>
      <c r="AA1044" s="33"/>
    </row>
    <row r="1045">
      <c r="B1045" s="10"/>
      <c r="X1045" s="30" t="s">
        <v>185</v>
      </c>
      <c r="Y1045" s="30" t="s">
        <v>185</v>
      </c>
      <c r="Z1045" s="33"/>
      <c r="AA1045" s="33"/>
    </row>
    <row r="1046">
      <c r="B1046" s="10"/>
      <c r="X1046" s="30" t="s">
        <v>185</v>
      </c>
      <c r="Y1046" s="30" t="s">
        <v>185</v>
      </c>
      <c r="Z1046" s="33"/>
      <c r="AA1046" s="33"/>
    </row>
    <row r="1047">
      <c r="B1047" s="10"/>
      <c r="X1047" s="30" t="s">
        <v>185</v>
      </c>
      <c r="Y1047" s="30" t="s">
        <v>185</v>
      </c>
      <c r="Z1047" s="33"/>
      <c r="AA1047" s="33"/>
    </row>
    <row r="1048">
      <c r="B1048" s="10"/>
      <c r="X1048" s="30" t="s">
        <v>185</v>
      </c>
      <c r="Y1048" s="30" t="s">
        <v>185</v>
      </c>
      <c r="Z1048" s="33"/>
      <c r="AA1048" s="33"/>
    </row>
    <row r="1049">
      <c r="B1049" s="10"/>
      <c r="X1049" s="30" t="s">
        <v>185</v>
      </c>
      <c r="Y1049" s="30" t="s">
        <v>185</v>
      </c>
      <c r="Z1049" s="33"/>
      <c r="AA1049" s="33"/>
    </row>
    <row r="1050">
      <c r="B1050" s="10"/>
      <c r="X1050" s="30" t="s">
        <v>185</v>
      </c>
      <c r="Y1050" s="30" t="s">
        <v>185</v>
      </c>
      <c r="Z1050" s="33"/>
      <c r="AA1050" s="33"/>
    </row>
    <row r="1051">
      <c r="B1051" s="10"/>
      <c r="X1051" s="30" t="s">
        <v>185</v>
      </c>
      <c r="Y1051" s="30" t="s">
        <v>185</v>
      </c>
      <c r="Z1051" s="33"/>
      <c r="AA1051" s="33"/>
    </row>
    <row r="1052">
      <c r="B1052" s="10"/>
      <c r="X1052" s="30" t="s">
        <v>185</v>
      </c>
      <c r="Y1052" s="30" t="s">
        <v>185</v>
      </c>
      <c r="Z1052" s="33"/>
      <c r="AA1052" s="33"/>
    </row>
    <row r="1053">
      <c r="B1053" s="10"/>
      <c r="X1053" s="30" t="s">
        <v>185</v>
      </c>
      <c r="Y1053" s="30" t="s">
        <v>185</v>
      </c>
      <c r="Z1053" s="33"/>
      <c r="AA1053" s="33"/>
    </row>
    <row r="1054">
      <c r="B1054" s="10"/>
      <c r="X1054" s="30" t="s">
        <v>185</v>
      </c>
      <c r="Y1054" s="30" t="s">
        <v>185</v>
      </c>
      <c r="Z1054" s="33"/>
      <c r="AA1054" s="33"/>
    </row>
    <row r="1055">
      <c r="B1055" s="10"/>
      <c r="X1055" s="30" t="s">
        <v>185</v>
      </c>
      <c r="Y1055" s="30" t="s">
        <v>185</v>
      </c>
      <c r="Z1055" s="33"/>
      <c r="AA1055" s="33"/>
    </row>
    <row r="1056">
      <c r="B1056" s="10"/>
      <c r="X1056" s="30" t="s">
        <v>185</v>
      </c>
      <c r="Y1056" s="30" t="s">
        <v>185</v>
      </c>
      <c r="Z1056" s="33"/>
      <c r="AA1056" s="33"/>
    </row>
    <row r="1057">
      <c r="B1057" s="10"/>
      <c r="X1057" s="30" t="s">
        <v>185</v>
      </c>
      <c r="Y1057" s="30" t="s">
        <v>185</v>
      </c>
      <c r="Z1057" s="33"/>
      <c r="AA1057" s="33"/>
    </row>
    <row r="1058">
      <c r="B1058" s="10"/>
      <c r="X1058" s="30" t="s">
        <v>185</v>
      </c>
      <c r="Y1058" s="30" t="s">
        <v>185</v>
      </c>
      <c r="Z1058" s="33"/>
      <c r="AA1058" s="33"/>
    </row>
    <row r="1059">
      <c r="B1059" s="10"/>
      <c r="X1059" s="30" t="s">
        <v>185</v>
      </c>
      <c r="Y1059" s="30" t="s">
        <v>185</v>
      </c>
      <c r="Z1059" s="33"/>
      <c r="AA1059" s="33"/>
    </row>
    <row r="1060">
      <c r="B1060" s="10"/>
      <c r="X1060" s="30" t="s">
        <v>185</v>
      </c>
      <c r="Y1060" s="30" t="s">
        <v>185</v>
      </c>
      <c r="Z1060" s="33"/>
      <c r="AA1060" s="33"/>
    </row>
    <row r="1061">
      <c r="B1061" s="10"/>
      <c r="X1061" s="30" t="s">
        <v>185</v>
      </c>
      <c r="Y1061" s="30" t="s">
        <v>185</v>
      </c>
      <c r="Z1061" s="33"/>
      <c r="AA1061" s="33"/>
    </row>
    <row r="1062">
      <c r="B1062" s="10"/>
      <c r="X1062" s="30" t="s">
        <v>185</v>
      </c>
      <c r="Y1062" s="30" t="s">
        <v>185</v>
      </c>
      <c r="Z1062" s="33"/>
      <c r="AA1062" s="33"/>
    </row>
    <row r="1063">
      <c r="B1063" s="10"/>
      <c r="X1063" s="30" t="s">
        <v>185</v>
      </c>
      <c r="Y1063" s="30" t="s">
        <v>185</v>
      </c>
      <c r="Z1063" s="33"/>
      <c r="AA1063" s="33"/>
    </row>
    <row r="1064">
      <c r="B1064" s="10"/>
      <c r="X1064" s="30" t="s">
        <v>185</v>
      </c>
      <c r="Y1064" s="30" t="s">
        <v>185</v>
      </c>
      <c r="Z1064" s="33"/>
      <c r="AA1064" s="33"/>
    </row>
    <row r="1065">
      <c r="B1065" s="10"/>
      <c r="X1065" s="30" t="s">
        <v>185</v>
      </c>
      <c r="Y1065" s="30" t="s">
        <v>185</v>
      </c>
      <c r="Z1065" s="33"/>
      <c r="AA1065" s="33"/>
    </row>
    <row r="1066">
      <c r="B1066" s="10"/>
      <c r="X1066" s="30" t="s">
        <v>185</v>
      </c>
      <c r="Y1066" s="30" t="s">
        <v>185</v>
      </c>
      <c r="Z1066" s="33"/>
      <c r="AA1066" s="33"/>
    </row>
    <row r="1067">
      <c r="B1067" s="10"/>
      <c r="X1067" s="30" t="s">
        <v>185</v>
      </c>
      <c r="Y1067" s="30" t="s">
        <v>185</v>
      </c>
      <c r="Z1067" s="33"/>
      <c r="AA1067" s="33"/>
    </row>
    <row r="1068">
      <c r="B1068" s="10"/>
      <c r="X1068" s="30" t="s">
        <v>185</v>
      </c>
      <c r="Y1068" s="30" t="s">
        <v>185</v>
      </c>
      <c r="Z1068" s="33"/>
      <c r="AA1068" s="33"/>
    </row>
    <row r="1069">
      <c r="B1069" s="10"/>
      <c r="X1069" s="30" t="s">
        <v>185</v>
      </c>
      <c r="Y1069" s="30" t="s">
        <v>185</v>
      </c>
      <c r="Z1069" s="33"/>
      <c r="AA1069" s="33"/>
    </row>
    <row r="1070">
      <c r="B1070" s="10"/>
      <c r="X1070" s="30" t="s">
        <v>185</v>
      </c>
      <c r="Y1070" s="30" t="s">
        <v>185</v>
      </c>
      <c r="Z1070" s="33"/>
      <c r="AA1070" s="33"/>
    </row>
    <row r="1071">
      <c r="B1071" s="10"/>
      <c r="X1071" s="30" t="s">
        <v>185</v>
      </c>
      <c r="Y1071" s="30" t="s">
        <v>185</v>
      </c>
      <c r="Z1071" s="33"/>
      <c r="AA1071" s="33"/>
    </row>
    <row r="1072">
      <c r="B1072" s="10"/>
      <c r="X1072" s="30" t="s">
        <v>185</v>
      </c>
      <c r="Y1072" s="30" t="s">
        <v>185</v>
      </c>
      <c r="Z1072" s="33"/>
      <c r="AA1072" s="33"/>
    </row>
    <row r="1073">
      <c r="B1073" s="10"/>
      <c r="X1073" s="30" t="s">
        <v>185</v>
      </c>
      <c r="Y1073" s="30" t="s">
        <v>185</v>
      </c>
      <c r="Z1073" s="33"/>
      <c r="AA1073" s="33"/>
    </row>
    <row r="1074">
      <c r="B1074" s="10"/>
      <c r="X1074" s="30" t="s">
        <v>185</v>
      </c>
      <c r="Y1074" s="30" t="s">
        <v>185</v>
      </c>
      <c r="Z1074" s="33"/>
      <c r="AA1074" s="3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tr">
        <f>IFERROR(__xludf.DUMMYFUNCTION("IMPORTRANGE(""https://docs.google.com/spreadsheets/d/1kuVI9Vw0WXuEkYJhkLq6kWkwS2dkCQJ1C-spPLQhmr0/edit?gid=1428217107#gid=1428217107"",""Operating Sites (Actual)!c:G"")"),"")</f>
        <v/>
      </c>
      <c r="B1" s="4"/>
      <c r="C1" s="4"/>
      <c r="D1" s="4"/>
      <c r="E1" s="4"/>
    </row>
    <row r="2">
      <c r="A2" s="4"/>
      <c r="B2" s="4"/>
      <c r="C2" s="4"/>
      <c r="D2" s="4"/>
      <c r="E2" s="4"/>
    </row>
    <row r="3">
      <c r="A3" s="4"/>
      <c r="B3" s="4"/>
      <c r="C3" s="4"/>
      <c r="D3" s="4"/>
      <c r="E3" s="4"/>
    </row>
    <row r="4">
      <c r="A4" s="4" t="str">
        <f>IFERROR(__xludf.DUMMYFUNCTION("""COMPUTED_VALUE"""),"SiteID")</f>
        <v>SiteID</v>
      </c>
      <c r="B4" s="4" t="str">
        <f>IFERROR(__xludf.DUMMYFUNCTION("""COMPUTED_VALUE"""),"Long")</f>
        <v>Long</v>
      </c>
      <c r="C4" s="4" t="str">
        <f>IFERROR(__xludf.DUMMYFUNCTION("""COMPUTED_VALUE"""),"Lat")</f>
        <v>Lat</v>
      </c>
      <c r="D4" s="4" t="str">
        <f>IFERROR(__xludf.DUMMYFUNCTION("""COMPUTED_VALUE"""),"Township")</f>
        <v>Township</v>
      </c>
      <c r="E4" s="4" t="str">
        <f>IFERROR(__xludf.DUMMYFUNCTION("""COMPUTED_VALUE"""),"On-Aired day")</f>
        <v>On-Aired day</v>
      </c>
    </row>
    <row r="5">
      <c r="A5" s="4" t="str">
        <f>IFERROR(__xludf.DUMMYFUNCTION("""COMPUTED_VALUE"""),"TNI0001")</f>
        <v>TNI0001</v>
      </c>
      <c r="B5" s="38">
        <f>IFERROR(__xludf.DUMMYFUNCTION("""COMPUTED_VALUE"""),98.597846)</f>
        <v>98.597846</v>
      </c>
      <c r="C5" s="38">
        <f>IFERROR(__xludf.DUMMYFUNCTION("""COMPUTED_VALUE"""),12.42999)</f>
        <v>12.42999</v>
      </c>
      <c r="D5" s="4" t="str">
        <f>IFERROR(__xludf.DUMMYFUNCTION("""COMPUTED_VALUE"""),"Myeik")</f>
        <v>Myeik</v>
      </c>
      <c r="E5" s="4">
        <f>IFERROR(__xludf.DUMMYFUNCTION("""COMPUTED_VALUE"""),43137.0)</f>
        <v>43137</v>
      </c>
    </row>
    <row r="6">
      <c r="A6" s="4" t="str">
        <f>IFERROR(__xludf.DUMMYFUNCTION("""COMPUTED_VALUE"""),"TNI0002")</f>
        <v>TNI0002</v>
      </c>
      <c r="B6" s="38">
        <f>IFERROR(__xludf.DUMMYFUNCTION("""COMPUTED_VALUE"""),98.617926)</f>
        <v>98.617926</v>
      </c>
      <c r="C6" s="38">
        <f>IFERROR(__xludf.DUMMYFUNCTION("""COMPUTED_VALUE"""),12.456329)</f>
        <v>12.456329</v>
      </c>
      <c r="D6" s="4" t="str">
        <f>IFERROR(__xludf.DUMMYFUNCTION("""COMPUTED_VALUE"""),"Myeik")</f>
        <v>Myeik</v>
      </c>
      <c r="E6" s="4">
        <f>IFERROR(__xludf.DUMMYFUNCTION("""COMPUTED_VALUE"""),43106.0)</f>
        <v>43106</v>
      </c>
    </row>
    <row r="7">
      <c r="A7" s="4" t="str">
        <f>IFERROR(__xludf.DUMMYFUNCTION("""COMPUTED_VALUE"""),"TNI0003")</f>
        <v>TNI0003</v>
      </c>
      <c r="B7" s="38">
        <f>IFERROR(__xludf.DUMMYFUNCTION("""COMPUTED_VALUE"""),98.682944)</f>
        <v>98.682944</v>
      </c>
      <c r="C7" s="38">
        <f>IFERROR(__xludf.DUMMYFUNCTION("""COMPUTED_VALUE"""),12.47432)</f>
        <v>12.47432</v>
      </c>
      <c r="D7" s="4" t="str">
        <f>IFERROR(__xludf.DUMMYFUNCTION("""COMPUTED_VALUE"""),"Myeik")</f>
        <v>Myeik</v>
      </c>
      <c r="E7" s="4">
        <f>IFERROR(__xludf.DUMMYFUNCTION("""COMPUTED_VALUE"""),43346.0)</f>
        <v>43346</v>
      </c>
    </row>
    <row r="8">
      <c r="A8" s="4" t="str">
        <f>IFERROR(__xludf.DUMMYFUNCTION("""COMPUTED_VALUE"""),"TNI0004")</f>
        <v>TNI0004</v>
      </c>
      <c r="B8" s="38">
        <f>IFERROR(__xludf.DUMMYFUNCTION("""COMPUTED_VALUE"""),99.053431)</f>
        <v>99.053431</v>
      </c>
      <c r="C8" s="38">
        <f>IFERROR(__xludf.DUMMYFUNCTION("""COMPUTED_VALUE"""),11.957902)</f>
        <v>11.957902</v>
      </c>
      <c r="D8" s="4" t="str">
        <f>IFERROR(__xludf.DUMMYFUNCTION("""COMPUTED_VALUE"""),"Tanintharyi")</f>
        <v>Tanintharyi</v>
      </c>
      <c r="E8" s="4">
        <f>IFERROR(__xludf.DUMMYFUNCTION("""COMPUTED_VALUE"""),43224.0)</f>
        <v>43224</v>
      </c>
    </row>
    <row r="9">
      <c r="A9" s="4" t="str">
        <f>IFERROR(__xludf.DUMMYFUNCTION("""COMPUTED_VALUE"""),"TNI0004_01")</f>
        <v>TNI0004_01</v>
      </c>
      <c r="B9" s="38">
        <f>IFERROR(__xludf.DUMMYFUNCTION("""COMPUTED_VALUE"""),99.07123)</f>
        <v>99.07123</v>
      </c>
      <c r="C9" s="38">
        <f>IFERROR(__xludf.DUMMYFUNCTION("""COMPUTED_VALUE"""),11.93631)</f>
        <v>11.93631</v>
      </c>
      <c r="D9" s="4" t="str">
        <f>IFERROR(__xludf.DUMMYFUNCTION("""COMPUTED_VALUE"""),"Tanintharyi")</f>
        <v>Tanintharyi</v>
      </c>
      <c r="E9" s="10">
        <f>IFERROR(__xludf.DUMMYFUNCTION("""COMPUTED_VALUE"""),44710.0)</f>
        <v>44710</v>
      </c>
    </row>
    <row r="10">
      <c r="A10" s="4" t="str">
        <f>IFERROR(__xludf.DUMMYFUNCTION("""COMPUTED_VALUE"""),"TNI0005")</f>
        <v>TNI0005</v>
      </c>
      <c r="B10" s="38">
        <f>IFERROR(__xludf.DUMMYFUNCTION("""COMPUTED_VALUE"""),98.51865)</f>
        <v>98.51865</v>
      </c>
      <c r="C10" s="38">
        <f>IFERROR(__xludf.DUMMYFUNCTION("""COMPUTED_VALUE"""),13.42581)</f>
        <v>13.42581</v>
      </c>
      <c r="D10" s="4" t="str">
        <f>IFERROR(__xludf.DUMMYFUNCTION("""COMPUTED_VALUE"""),"Thayetchaung")</f>
        <v>Thayetchaung</v>
      </c>
      <c r="E10" s="10">
        <f>IFERROR(__xludf.DUMMYFUNCTION("""COMPUTED_VALUE"""),43182.0)</f>
        <v>43182</v>
      </c>
    </row>
    <row r="11">
      <c r="A11" s="4" t="str">
        <f>IFERROR(__xludf.DUMMYFUNCTION("""COMPUTED_VALUE"""),"TNI0006")</f>
        <v>TNI0006</v>
      </c>
      <c r="B11" s="38">
        <f>IFERROR(__xludf.DUMMYFUNCTION("""COMPUTED_VALUE"""),98.139013)</f>
        <v>98.139013</v>
      </c>
      <c r="C11" s="38">
        <f>IFERROR(__xludf.DUMMYFUNCTION("""COMPUTED_VALUE"""),14.624267)</f>
        <v>14.624267</v>
      </c>
      <c r="D11" s="4" t="str">
        <f>IFERROR(__xludf.DUMMYFUNCTION("""COMPUTED_VALUE"""),"Yebyu")</f>
        <v>Yebyu</v>
      </c>
      <c r="E11" s="10">
        <f>IFERROR(__xludf.DUMMYFUNCTION("""COMPUTED_VALUE"""),43180.0)</f>
        <v>43180</v>
      </c>
    </row>
    <row r="12">
      <c r="A12" s="4" t="str">
        <f>IFERROR(__xludf.DUMMYFUNCTION("""COMPUTED_VALUE"""),"TNI0007")</f>
        <v>TNI0007</v>
      </c>
      <c r="B12" s="38">
        <f>IFERROR(__xludf.DUMMYFUNCTION("""COMPUTED_VALUE"""),98.666014)</f>
        <v>98.666014</v>
      </c>
      <c r="C12" s="38">
        <f>IFERROR(__xludf.DUMMYFUNCTION("""COMPUTED_VALUE"""),12.849803)</f>
        <v>12.849803</v>
      </c>
      <c r="D12" s="4" t="str">
        <f>IFERROR(__xludf.DUMMYFUNCTION("""COMPUTED_VALUE"""),"Palaw")</f>
        <v>Palaw</v>
      </c>
      <c r="E12" s="10">
        <f>IFERROR(__xludf.DUMMYFUNCTION("""COMPUTED_VALUE"""),43176.0)</f>
        <v>43176</v>
      </c>
    </row>
    <row r="13">
      <c r="A13" s="4" t="str">
        <f>IFERROR(__xludf.DUMMYFUNCTION("""COMPUTED_VALUE"""),"TNI0008")</f>
        <v>TNI0008</v>
      </c>
      <c r="B13" s="38">
        <f>IFERROR(__xludf.DUMMYFUNCTION("""COMPUTED_VALUE"""),98.99112)</f>
        <v>98.99112</v>
      </c>
      <c r="C13" s="38">
        <f>IFERROR(__xludf.DUMMYFUNCTION("""COMPUTED_VALUE"""),11.45099)</f>
        <v>11.45099</v>
      </c>
      <c r="D13" s="4" t="str">
        <f>IFERROR(__xludf.DUMMYFUNCTION("""COMPUTED_VALUE"""),"Bokpyin")</f>
        <v>Bokpyin</v>
      </c>
      <c r="E13" s="4">
        <f>IFERROR(__xludf.DUMMYFUNCTION("""COMPUTED_VALUE"""),43104.0)</f>
        <v>43104</v>
      </c>
    </row>
    <row r="14">
      <c r="A14" s="4" t="str">
        <f>IFERROR(__xludf.DUMMYFUNCTION("""COMPUTED_VALUE"""),"TNI0009")</f>
        <v>TNI0009</v>
      </c>
      <c r="B14" s="38">
        <f>IFERROR(__xludf.DUMMYFUNCTION("""COMPUTED_VALUE"""),98.73268)</f>
        <v>98.73268</v>
      </c>
      <c r="C14" s="38">
        <f>IFERROR(__xludf.DUMMYFUNCTION("""COMPUTED_VALUE"""),11.124256)</f>
        <v>11.124256</v>
      </c>
      <c r="D14" s="4" t="str">
        <f>IFERROR(__xludf.DUMMYFUNCTION("""COMPUTED_VALUE"""),"Bokpyin")</f>
        <v>Bokpyin</v>
      </c>
      <c r="E14" s="4">
        <f>IFERROR(__xludf.DUMMYFUNCTION("""COMPUTED_VALUE"""),43163.0)</f>
        <v>43163</v>
      </c>
    </row>
    <row r="15">
      <c r="A15" s="4" t="str">
        <f>IFERROR(__xludf.DUMMYFUNCTION("""COMPUTED_VALUE"""),"TNI0011")</f>
        <v>TNI0011</v>
      </c>
      <c r="B15" s="38">
        <f>IFERROR(__xludf.DUMMYFUNCTION("""COMPUTED_VALUE"""),98.54875)</f>
        <v>98.54875</v>
      </c>
      <c r="C15" s="38">
        <f>IFERROR(__xludf.DUMMYFUNCTION("""COMPUTED_VALUE"""),9.97706)</f>
        <v>9.97706</v>
      </c>
      <c r="D15" s="4" t="str">
        <f>IFERROR(__xludf.DUMMYFUNCTION("""COMPUTED_VALUE"""),"Kawthoung")</f>
        <v>Kawthoung</v>
      </c>
      <c r="E15" s="10">
        <f>IFERROR(__xludf.DUMMYFUNCTION("""COMPUTED_VALUE"""),43246.0)</f>
        <v>43246</v>
      </c>
    </row>
    <row r="16">
      <c r="A16" s="4" t="str">
        <f>IFERROR(__xludf.DUMMYFUNCTION("""COMPUTED_VALUE"""),"TNI0012")</f>
        <v>TNI0012</v>
      </c>
      <c r="B16" s="38">
        <f>IFERROR(__xludf.DUMMYFUNCTION("""COMPUTED_VALUE"""),98.61957)</f>
        <v>98.61957</v>
      </c>
      <c r="C16" s="38">
        <f>IFERROR(__xludf.DUMMYFUNCTION("""COMPUTED_VALUE"""),10.341445)</f>
        <v>10.341445</v>
      </c>
      <c r="D16" s="4" t="str">
        <f>IFERROR(__xludf.DUMMYFUNCTION("""COMPUTED_VALUE"""),"Kawthoung")</f>
        <v>Kawthoung</v>
      </c>
      <c r="E16" s="10">
        <f>IFERROR(__xludf.DUMMYFUNCTION("""COMPUTED_VALUE"""),43187.0)</f>
        <v>43187</v>
      </c>
    </row>
    <row r="17">
      <c r="A17" s="4" t="str">
        <f>IFERROR(__xludf.DUMMYFUNCTION("""COMPUTED_VALUE"""),"TNI0013")</f>
        <v>TNI0013</v>
      </c>
      <c r="B17" s="38">
        <f>IFERROR(__xludf.DUMMYFUNCTION("""COMPUTED_VALUE"""),98.18685)</f>
        <v>98.18685</v>
      </c>
      <c r="C17" s="38">
        <f>IFERROR(__xludf.DUMMYFUNCTION("""COMPUTED_VALUE"""),14.07067)</f>
        <v>14.07067</v>
      </c>
      <c r="D17" s="4" t="str">
        <f>IFERROR(__xludf.DUMMYFUNCTION("""COMPUTED_VALUE"""),"Dawei")</f>
        <v>Dawei</v>
      </c>
      <c r="E17" s="10">
        <f>IFERROR(__xludf.DUMMYFUNCTION("""COMPUTED_VALUE"""),43217.0)</f>
        <v>43217</v>
      </c>
    </row>
    <row r="18">
      <c r="A18" s="4" t="str">
        <f>IFERROR(__xludf.DUMMYFUNCTION("""COMPUTED_VALUE"""),"TNI0015")</f>
        <v>TNI0015</v>
      </c>
      <c r="B18" s="38">
        <f>IFERROR(__xludf.DUMMYFUNCTION("""COMPUTED_VALUE"""),98.6134)</f>
        <v>98.6134</v>
      </c>
      <c r="C18" s="38">
        <f>IFERROR(__xludf.DUMMYFUNCTION("""COMPUTED_VALUE"""),10.77031)</f>
        <v>10.77031</v>
      </c>
      <c r="D18" s="4" t="str">
        <f>IFERROR(__xludf.DUMMYFUNCTION("""COMPUTED_VALUE"""),"Bokpyin")</f>
        <v>Bokpyin</v>
      </c>
      <c r="E18" s="4">
        <f>IFERROR(__xludf.DUMMYFUNCTION("""COMPUTED_VALUE"""),43135.0)</f>
        <v>43135</v>
      </c>
    </row>
    <row r="19">
      <c r="A19" s="4" t="str">
        <f>IFERROR(__xludf.DUMMYFUNCTION("""COMPUTED_VALUE"""),"TNI0016")</f>
        <v>TNI0016</v>
      </c>
      <c r="B19" s="39">
        <f>IFERROR(__xludf.DUMMYFUNCTION("""COMPUTED_VALUE"""),98.54673)</f>
        <v>98.54673</v>
      </c>
      <c r="C19" s="39">
        <f>IFERROR(__xludf.DUMMYFUNCTION("""COMPUTED_VALUE"""),9.98053)</f>
        <v>9.98053</v>
      </c>
      <c r="D19" s="4" t="str">
        <f>IFERROR(__xludf.DUMMYFUNCTION("""COMPUTED_VALUE"""),"Kawthoung")</f>
        <v>Kawthoung</v>
      </c>
      <c r="E19" s="10">
        <f>IFERROR(__xludf.DUMMYFUNCTION("""COMPUTED_VALUE"""),43181.0)</f>
        <v>43181</v>
      </c>
    </row>
    <row r="20">
      <c r="A20" s="4" t="str">
        <f>IFERROR(__xludf.DUMMYFUNCTION("""COMPUTED_VALUE"""),"TNI0017")</f>
        <v>TNI0017</v>
      </c>
      <c r="B20" s="40">
        <f>IFERROR(__xludf.DUMMYFUNCTION("""COMPUTED_VALUE"""),98.5439)</f>
        <v>98.5439</v>
      </c>
      <c r="C20" s="40">
        <f>IFERROR(__xludf.DUMMYFUNCTION("""COMPUTED_VALUE"""),9.9862)</f>
        <v>9.9862</v>
      </c>
      <c r="D20" s="4" t="str">
        <f>IFERROR(__xludf.DUMMYFUNCTION("""COMPUTED_VALUE"""),"Kawthoung")</f>
        <v>Kawthoung</v>
      </c>
      <c r="E20" s="10">
        <f>IFERROR(__xludf.DUMMYFUNCTION("""COMPUTED_VALUE"""),43372.0)</f>
        <v>43372</v>
      </c>
    </row>
    <row r="21">
      <c r="A21" s="4" t="str">
        <f>IFERROR(__xludf.DUMMYFUNCTION("""COMPUTED_VALUE"""),"TNI0018")</f>
        <v>TNI0018</v>
      </c>
      <c r="B21" s="38">
        <f>IFERROR(__xludf.DUMMYFUNCTION("""COMPUTED_VALUE"""),98.17288)</f>
        <v>98.17288</v>
      </c>
      <c r="C21" s="38">
        <f>IFERROR(__xludf.DUMMYFUNCTION("""COMPUTED_VALUE"""),14.10499)</f>
        <v>14.10499</v>
      </c>
      <c r="D21" s="4" t="str">
        <f>IFERROR(__xludf.DUMMYFUNCTION("""COMPUTED_VALUE"""),"Launglon")</f>
        <v>Launglon</v>
      </c>
      <c r="E21" s="10">
        <f>IFERROR(__xludf.DUMMYFUNCTION("""COMPUTED_VALUE"""),43248.0)</f>
        <v>43248</v>
      </c>
    </row>
    <row r="22">
      <c r="A22" s="4" t="str">
        <f>IFERROR(__xludf.DUMMYFUNCTION("""COMPUTED_VALUE"""),"TNI0018_01")</f>
        <v>TNI0018_01</v>
      </c>
      <c r="B22" s="38">
        <f>IFERROR(__xludf.DUMMYFUNCTION("""COMPUTED_VALUE"""),98.187854)</f>
        <v>98.187854</v>
      </c>
      <c r="C22" s="38">
        <f>IFERROR(__xludf.DUMMYFUNCTION("""COMPUTED_VALUE"""),14.131616)</f>
        <v>14.131616</v>
      </c>
      <c r="D22" s="4" t="str">
        <f>IFERROR(__xludf.DUMMYFUNCTION("""COMPUTED_VALUE"""),"Launglon")</f>
        <v>Launglon</v>
      </c>
      <c r="E22" s="10">
        <f>IFERROR(__xludf.DUMMYFUNCTION("""COMPUTED_VALUE"""),44469.0)</f>
        <v>44469</v>
      </c>
    </row>
    <row r="23">
      <c r="A23" s="4" t="str">
        <f>IFERROR(__xludf.DUMMYFUNCTION("""COMPUTED_VALUE"""),"TNI0019")</f>
        <v>TNI0019</v>
      </c>
      <c r="B23" s="38">
        <f>IFERROR(__xludf.DUMMYFUNCTION("""COMPUTED_VALUE"""),98.26163)</f>
        <v>98.26163</v>
      </c>
      <c r="C23" s="38">
        <f>IFERROR(__xludf.DUMMYFUNCTION("""COMPUTED_VALUE"""),13.86664)</f>
        <v>13.86664</v>
      </c>
      <c r="D23" s="4" t="str">
        <f>IFERROR(__xludf.DUMMYFUNCTION("""COMPUTED_VALUE"""),"Thayetchaung")</f>
        <v>Thayetchaung</v>
      </c>
      <c r="E23" s="4">
        <f>IFERROR(__xludf.DUMMYFUNCTION("""COMPUTED_VALUE"""),43286.0)</f>
        <v>43286</v>
      </c>
    </row>
    <row r="24">
      <c r="A24" s="4" t="str">
        <f>IFERROR(__xludf.DUMMYFUNCTION("""COMPUTED_VALUE"""),"TNI0020")</f>
        <v>TNI0020</v>
      </c>
      <c r="B24" s="38">
        <f>IFERROR(__xludf.DUMMYFUNCTION("""COMPUTED_VALUE"""),98.60684)</f>
        <v>98.60684</v>
      </c>
      <c r="C24" s="38">
        <f>IFERROR(__xludf.DUMMYFUNCTION("""COMPUTED_VALUE"""),12.42412)</f>
        <v>12.42412</v>
      </c>
      <c r="D24" s="4" t="str">
        <f>IFERROR(__xludf.DUMMYFUNCTION("""COMPUTED_VALUE"""),"Myeik")</f>
        <v>Myeik</v>
      </c>
      <c r="E24" s="4">
        <f>IFERROR(__xludf.DUMMYFUNCTION("""COMPUTED_VALUE"""),43408.0)</f>
        <v>43408</v>
      </c>
    </row>
    <row r="25">
      <c r="A25" s="4" t="str">
        <f>IFERROR(__xludf.DUMMYFUNCTION("""COMPUTED_VALUE"""),"TNI0021")</f>
        <v>TNI0021</v>
      </c>
      <c r="B25" s="38">
        <f>IFERROR(__xludf.DUMMYFUNCTION("""COMPUTED_VALUE"""),98.60493)</f>
        <v>98.60493</v>
      </c>
      <c r="C25" s="38">
        <f>IFERROR(__xludf.DUMMYFUNCTION("""COMPUTED_VALUE"""),12.4573)</f>
        <v>12.4573</v>
      </c>
      <c r="D25" s="4" t="str">
        <f>IFERROR(__xludf.DUMMYFUNCTION("""COMPUTED_VALUE"""),"Myeik")</f>
        <v>Myeik</v>
      </c>
      <c r="E25" s="4">
        <f>IFERROR(__xludf.DUMMYFUNCTION("""COMPUTED_VALUE"""),43347.0)</f>
        <v>43347</v>
      </c>
    </row>
    <row r="26">
      <c r="A26" s="4" t="str">
        <f>IFERROR(__xludf.DUMMYFUNCTION("""COMPUTED_VALUE"""),"TNI0022")</f>
        <v>TNI0022</v>
      </c>
      <c r="B26" s="38">
        <f>IFERROR(__xludf.DUMMYFUNCTION("""COMPUTED_VALUE"""),98.507552)</f>
        <v>98.507552</v>
      </c>
      <c r="C26" s="38">
        <f>IFERROR(__xludf.DUMMYFUNCTION("""COMPUTED_VALUE"""),10.022118)</f>
        <v>10.022118</v>
      </c>
      <c r="D26" s="4" t="str">
        <f>IFERROR(__xludf.DUMMYFUNCTION("""COMPUTED_VALUE"""),"Kawthoung")</f>
        <v>Kawthoung</v>
      </c>
      <c r="E26" s="4">
        <f>IFERROR(__xludf.DUMMYFUNCTION("""COMPUTED_VALUE"""),43683.0)</f>
        <v>43683</v>
      </c>
    </row>
    <row r="27">
      <c r="A27" s="4" t="str">
        <f>IFERROR(__xludf.DUMMYFUNCTION("""COMPUTED_VALUE"""),"TNI0023")</f>
        <v>TNI0023</v>
      </c>
      <c r="B27" s="38">
        <f>IFERROR(__xludf.DUMMYFUNCTION("""COMPUTED_VALUE"""),98.58402)</f>
        <v>98.58402</v>
      </c>
      <c r="C27" s="38">
        <f>IFERROR(__xludf.DUMMYFUNCTION("""COMPUTED_VALUE"""),12.43792)</f>
        <v>12.43792</v>
      </c>
      <c r="D27" s="4" t="str">
        <f>IFERROR(__xludf.DUMMYFUNCTION("""COMPUTED_VALUE"""),"Kyunsu")</f>
        <v>Kyunsu</v>
      </c>
      <c r="E27" s="10">
        <f>IFERROR(__xludf.DUMMYFUNCTION("""COMPUTED_VALUE"""),43211.0)</f>
        <v>43211</v>
      </c>
    </row>
    <row r="28">
      <c r="A28" s="4" t="str">
        <f>IFERROR(__xludf.DUMMYFUNCTION("""COMPUTED_VALUE"""),"TNI0024")</f>
        <v>TNI0024</v>
      </c>
      <c r="B28" s="38">
        <f>IFERROR(__xludf.DUMMYFUNCTION("""COMPUTED_VALUE"""),98.61445)</f>
        <v>98.61445</v>
      </c>
      <c r="C28" s="38">
        <f>IFERROR(__xludf.DUMMYFUNCTION("""COMPUTED_VALUE"""),12.42581)</f>
        <v>12.42581</v>
      </c>
      <c r="D28" s="4" t="str">
        <f>IFERROR(__xludf.DUMMYFUNCTION("""COMPUTED_VALUE"""),"Myeik")</f>
        <v>Myeik</v>
      </c>
      <c r="E28" s="10">
        <f>IFERROR(__xludf.DUMMYFUNCTION("""COMPUTED_VALUE"""),43181.0)</f>
        <v>43181</v>
      </c>
    </row>
    <row r="29">
      <c r="A29" s="4" t="str">
        <f>IFERROR(__xludf.DUMMYFUNCTION("""COMPUTED_VALUE"""),"TNI0025")</f>
        <v>TNI0025</v>
      </c>
      <c r="B29" s="38">
        <f>IFERROR(__xludf.DUMMYFUNCTION("""COMPUTED_VALUE"""),98.60356)</f>
        <v>98.60356</v>
      </c>
      <c r="C29" s="38">
        <f>IFERROR(__xludf.DUMMYFUNCTION("""COMPUTED_VALUE"""),12.42959)</f>
        <v>12.42959</v>
      </c>
      <c r="D29" s="4" t="str">
        <f>IFERROR(__xludf.DUMMYFUNCTION("""COMPUTED_VALUE"""),"Myeik")</f>
        <v>Myeik</v>
      </c>
      <c r="E29" s="10">
        <f>IFERROR(__xludf.DUMMYFUNCTION("""COMPUTED_VALUE"""),43180.0)</f>
        <v>43180</v>
      </c>
    </row>
    <row r="30">
      <c r="A30" s="4" t="str">
        <f>IFERROR(__xludf.DUMMYFUNCTION("""COMPUTED_VALUE"""),"TNI0026")</f>
        <v>TNI0026</v>
      </c>
      <c r="B30" s="38">
        <f>IFERROR(__xludf.DUMMYFUNCTION("""COMPUTED_VALUE"""),98.45817)</f>
        <v>98.45817</v>
      </c>
      <c r="C30" s="38">
        <f>IFERROR(__xludf.DUMMYFUNCTION("""COMPUTED_VALUE"""),12.47902)</f>
        <v>12.47902</v>
      </c>
      <c r="D30" s="4" t="str">
        <f>IFERROR(__xludf.DUMMYFUNCTION("""COMPUTED_VALUE"""),"Kyunsu")</f>
        <v>Kyunsu</v>
      </c>
      <c r="E30" s="4">
        <f>IFERROR(__xludf.DUMMYFUNCTION("""COMPUTED_VALUE"""),43409.0)</f>
        <v>43409</v>
      </c>
    </row>
    <row r="31">
      <c r="A31" s="4" t="str">
        <f>IFERROR(__xludf.DUMMYFUNCTION("""COMPUTED_VALUE"""),"TNI0027")</f>
        <v>TNI0027</v>
      </c>
      <c r="B31" s="38">
        <f>IFERROR(__xludf.DUMMYFUNCTION("""COMPUTED_VALUE"""),98.64506)</f>
        <v>98.64506</v>
      </c>
      <c r="C31" s="38">
        <f>IFERROR(__xludf.DUMMYFUNCTION("""COMPUTED_VALUE"""),12.45987)</f>
        <v>12.45987</v>
      </c>
      <c r="D31" s="4" t="str">
        <f>IFERROR(__xludf.DUMMYFUNCTION("""COMPUTED_VALUE"""),"Myeik")</f>
        <v>Myeik</v>
      </c>
      <c r="E31" s="4">
        <f>IFERROR(__xludf.DUMMYFUNCTION("""COMPUTED_VALUE"""),43255.0)</f>
        <v>43255</v>
      </c>
    </row>
    <row r="32">
      <c r="A32" s="4" t="str">
        <f>IFERROR(__xludf.DUMMYFUNCTION("""COMPUTED_VALUE"""),"TNI0028")</f>
        <v>TNI0028</v>
      </c>
      <c r="B32" s="38">
        <f>IFERROR(__xludf.DUMMYFUNCTION("""COMPUTED_VALUE"""),98.69271)</f>
        <v>98.69271</v>
      </c>
      <c r="C32" s="38">
        <f>IFERROR(__xludf.DUMMYFUNCTION("""COMPUTED_VALUE"""),12.48091)</f>
        <v>12.48091</v>
      </c>
      <c r="D32" s="4" t="str">
        <f>IFERROR(__xludf.DUMMYFUNCTION("""COMPUTED_VALUE"""),"Myeik")</f>
        <v>Myeik</v>
      </c>
      <c r="E32" s="10">
        <f>IFERROR(__xludf.DUMMYFUNCTION("""COMPUTED_VALUE"""),43185.0)</f>
        <v>43185</v>
      </c>
    </row>
    <row r="33">
      <c r="A33" s="4" t="str">
        <f>IFERROR(__xludf.DUMMYFUNCTION("""COMPUTED_VALUE"""),"TNI0029")</f>
        <v>TNI0029</v>
      </c>
      <c r="B33" s="38">
        <f>IFERROR(__xludf.DUMMYFUNCTION("""COMPUTED_VALUE"""),98.66591)</f>
        <v>98.66591</v>
      </c>
      <c r="C33" s="38">
        <f>IFERROR(__xludf.DUMMYFUNCTION("""COMPUTED_VALUE"""),12.47557)</f>
        <v>12.47557</v>
      </c>
      <c r="D33" s="4" t="str">
        <f>IFERROR(__xludf.DUMMYFUNCTION("""COMPUTED_VALUE"""),"Myeik")</f>
        <v>Myeik</v>
      </c>
      <c r="E33" s="10">
        <f>IFERROR(__xludf.DUMMYFUNCTION("""COMPUTED_VALUE"""),43182.0)</f>
        <v>43182</v>
      </c>
    </row>
    <row r="34">
      <c r="A34" s="4" t="str">
        <f>IFERROR(__xludf.DUMMYFUNCTION("""COMPUTED_VALUE"""),"TNI0030")</f>
        <v>TNI0030</v>
      </c>
      <c r="B34" s="38">
        <f>IFERROR(__xludf.DUMMYFUNCTION("""COMPUTED_VALUE"""),98.6052)</f>
        <v>98.6052</v>
      </c>
      <c r="C34" s="38">
        <f>IFERROR(__xludf.DUMMYFUNCTION("""COMPUTED_VALUE"""),12.46662)</f>
        <v>12.46662</v>
      </c>
      <c r="D34" s="4" t="str">
        <f>IFERROR(__xludf.DUMMYFUNCTION("""COMPUTED_VALUE"""),"Myeik")</f>
        <v>Myeik</v>
      </c>
      <c r="E34" s="4">
        <f>IFERROR(__xludf.DUMMYFUNCTION("""COMPUTED_VALUE"""),43104.0)</f>
        <v>43104</v>
      </c>
    </row>
    <row r="35">
      <c r="A35" s="4" t="str">
        <f>IFERROR(__xludf.DUMMYFUNCTION("""COMPUTED_VALUE"""),"TNI0031")</f>
        <v>TNI0031</v>
      </c>
      <c r="B35" s="38">
        <f>IFERROR(__xludf.DUMMYFUNCTION("""COMPUTED_VALUE"""),98.1129)</f>
        <v>98.1129</v>
      </c>
      <c r="C35" s="38">
        <f>IFERROR(__xludf.DUMMYFUNCTION("""COMPUTED_VALUE"""),13.97254)</f>
        <v>13.97254</v>
      </c>
      <c r="D35" s="4" t="str">
        <f>IFERROR(__xludf.DUMMYFUNCTION("""COMPUTED_VALUE"""),"Launglon")</f>
        <v>Launglon</v>
      </c>
      <c r="E35" s="10">
        <f>IFERROR(__xludf.DUMMYFUNCTION("""COMPUTED_VALUE"""),43553.0)</f>
        <v>43553</v>
      </c>
    </row>
    <row r="36">
      <c r="A36" s="4" t="str">
        <f>IFERROR(__xludf.DUMMYFUNCTION("""COMPUTED_VALUE"""),"TNI0032")</f>
        <v>TNI0032</v>
      </c>
      <c r="B36" s="38">
        <f>IFERROR(__xludf.DUMMYFUNCTION("""COMPUTED_VALUE"""),98.53693)</f>
        <v>98.53693</v>
      </c>
      <c r="C36" s="38">
        <f>IFERROR(__xludf.DUMMYFUNCTION("""COMPUTED_VALUE"""),10.0011)</f>
        <v>10.0011</v>
      </c>
      <c r="D36" s="4" t="str">
        <f>IFERROR(__xludf.DUMMYFUNCTION("""COMPUTED_VALUE"""),"Kawthoung")</f>
        <v>Kawthoung</v>
      </c>
      <c r="E36" s="10">
        <f>IFERROR(__xludf.DUMMYFUNCTION("""COMPUTED_VALUE"""),43183.0)</f>
        <v>43183</v>
      </c>
    </row>
    <row r="37">
      <c r="A37" s="4" t="str">
        <f>IFERROR(__xludf.DUMMYFUNCTION("""COMPUTED_VALUE"""),"TNI0033")</f>
        <v>TNI0033</v>
      </c>
      <c r="B37" s="38">
        <f>IFERROR(__xludf.DUMMYFUNCTION("""COMPUTED_VALUE"""),98.62538)</f>
        <v>98.62538</v>
      </c>
      <c r="C37" s="38">
        <f>IFERROR(__xludf.DUMMYFUNCTION("""COMPUTED_VALUE"""),12.97869)</f>
        <v>12.97869</v>
      </c>
      <c r="D37" s="4" t="str">
        <f>IFERROR(__xludf.DUMMYFUNCTION("""COMPUTED_VALUE"""),"Palaw")</f>
        <v>Palaw</v>
      </c>
      <c r="E37" s="10">
        <f>IFERROR(__xludf.DUMMYFUNCTION("""COMPUTED_VALUE"""),43189.0)</f>
        <v>43189</v>
      </c>
    </row>
    <row r="38">
      <c r="A38" s="4" t="str">
        <f>IFERROR(__xludf.DUMMYFUNCTION("""COMPUTED_VALUE"""),"TNI0034")</f>
        <v>TNI0034</v>
      </c>
      <c r="B38" s="38">
        <f>IFERROR(__xludf.DUMMYFUNCTION("""COMPUTED_VALUE"""),98.6254)</f>
        <v>98.6254</v>
      </c>
      <c r="C38" s="38">
        <f>IFERROR(__xludf.DUMMYFUNCTION("""COMPUTED_VALUE"""),12.47128)</f>
        <v>12.47128</v>
      </c>
      <c r="D38" s="4" t="str">
        <f>IFERROR(__xludf.DUMMYFUNCTION("""COMPUTED_VALUE"""),"Myeik")</f>
        <v>Myeik</v>
      </c>
      <c r="E38" s="4">
        <f>IFERROR(__xludf.DUMMYFUNCTION("""COMPUTED_VALUE"""),43349.0)</f>
        <v>43349</v>
      </c>
    </row>
    <row r="39">
      <c r="A39" s="4" t="str">
        <f>IFERROR(__xludf.DUMMYFUNCTION("""COMPUTED_VALUE"""),"TNI0035")</f>
        <v>TNI0035</v>
      </c>
      <c r="B39" s="38">
        <f>IFERROR(__xludf.DUMMYFUNCTION("""COMPUTED_VALUE"""),98.15931)</f>
        <v>98.15931</v>
      </c>
      <c r="C39" s="38">
        <f>IFERROR(__xludf.DUMMYFUNCTION("""COMPUTED_VALUE"""),14.02633)</f>
        <v>14.02633</v>
      </c>
      <c r="D39" s="4" t="str">
        <f>IFERROR(__xludf.DUMMYFUNCTION("""COMPUTED_VALUE"""),"Launglon")</f>
        <v>Launglon</v>
      </c>
      <c r="E39" s="4">
        <f>IFERROR(__xludf.DUMMYFUNCTION("""COMPUTED_VALUE"""),43162.0)</f>
        <v>43162</v>
      </c>
    </row>
    <row r="40">
      <c r="A40" s="4" t="str">
        <f>IFERROR(__xludf.DUMMYFUNCTION("""COMPUTED_VALUE"""),"TNI0036")</f>
        <v>TNI0036</v>
      </c>
      <c r="B40" s="38">
        <f>IFERROR(__xludf.DUMMYFUNCTION("""COMPUTED_VALUE"""),98.59793)</f>
        <v>98.59793</v>
      </c>
      <c r="C40" s="38">
        <f>IFERROR(__xludf.DUMMYFUNCTION("""COMPUTED_VALUE"""),12.43527)</f>
        <v>12.43527</v>
      </c>
      <c r="D40" s="4" t="str">
        <f>IFERROR(__xludf.DUMMYFUNCTION("""COMPUTED_VALUE"""),"Myeik")</f>
        <v>Myeik</v>
      </c>
      <c r="E40" s="4">
        <f>IFERROR(__xludf.DUMMYFUNCTION("""COMPUTED_VALUE"""),44078.0)</f>
        <v>44078</v>
      </c>
    </row>
    <row r="41">
      <c r="A41" s="4" t="str">
        <f>IFERROR(__xludf.DUMMYFUNCTION("""COMPUTED_VALUE"""),"TNI0037")</f>
        <v>TNI0037</v>
      </c>
      <c r="B41" s="38">
        <f>IFERROR(__xludf.DUMMYFUNCTION("""COMPUTED_VALUE"""),98.552053)</f>
        <v>98.552053</v>
      </c>
      <c r="C41" s="38">
        <f>IFERROR(__xludf.DUMMYFUNCTION("""COMPUTED_VALUE"""),9.996118)</f>
        <v>9.996118</v>
      </c>
      <c r="D41" s="4" t="str">
        <f>IFERROR(__xludf.DUMMYFUNCTION("""COMPUTED_VALUE"""),"Kawthoung")</f>
        <v>Kawthoung</v>
      </c>
      <c r="E41" s="4">
        <f>IFERROR(__xludf.DUMMYFUNCTION("""COMPUTED_VALUE"""),43530.0)</f>
        <v>43530</v>
      </c>
    </row>
    <row r="42">
      <c r="A42" s="4" t="str">
        <f>IFERROR(__xludf.DUMMYFUNCTION("""COMPUTED_VALUE"""),"TNI0038")</f>
        <v>TNI0038</v>
      </c>
      <c r="B42" s="38">
        <f>IFERROR(__xludf.DUMMYFUNCTION("""COMPUTED_VALUE"""),98.15401)</f>
        <v>98.15401</v>
      </c>
      <c r="C42" s="38">
        <f>IFERROR(__xludf.DUMMYFUNCTION("""COMPUTED_VALUE"""),14.0571)</f>
        <v>14.0571</v>
      </c>
      <c r="D42" s="4" t="str">
        <f>IFERROR(__xludf.DUMMYFUNCTION("""COMPUTED_VALUE"""),"Launglon")</f>
        <v>Launglon</v>
      </c>
      <c r="E42" s="41">
        <f>IFERROR(__xludf.DUMMYFUNCTION("""COMPUTED_VALUE"""),43525.0)</f>
        <v>43525</v>
      </c>
    </row>
    <row r="43">
      <c r="A43" s="4" t="str">
        <f>IFERROR(__xludf.DUMMYFUNCTION("""COMPUTED_VALUE"""),"TNI0039")</f>
        <v>TNI0039</v>
      </c>
      <c r="B43" s="38">
        <f>IFERROR(__xludf.DUMMYFUNCTION("""COMPUTED_VALUE"""),98.62411)</f>
        <v>98.62411</v>
      </c>
      <c r="C43" s="38">
        <f>IFERROR(__xludf.DUMMYFUNCTION("""COMPUTED_VALUE"""),13.2726)</f>
        <v>13.2726</v>
      </c>
      <c r="D43" s="4" t="str">
        <f>IFERROR(__xludf.DUMMYFUNCTION("""COMPUTED_VALUE"""),"Palaw")</f>
        <v>Palaw</v>
      </c>
      <c r="E43" s="10">
        <f>IFERROR(__xludf.DUMMYFUNCTION("""COMPUTED_VALUE"""),43521.0)</f>
        <v>43521</v>
      </c>
    </row>
    <row r="44">
      <c r="A44" s="4" t="str">
        <f>IFERROR(__xludf.DUMMYFUNCTION("""COMPUTED_VALUE"""),"TNI0040")</f>
        <v>TNI0040</v>
      </c>
      <c r="B44" s="38">
        <f>IFERROR(__xludf.DUMMYFUNCTION("""COMPUTED_VALUE"""),98.256857)</f>
        <v>98.256857</v>
      </c>
      <c r="C44" s="38">
        <f>IFERROR(__xludf.DUMMYFUNCTION("""COMPUTED_VALUE"""),13.882921)</f>
        <v>13.882921</v>
      </c>
      <c r="D44" s="4" t="str">
        <f>IFERROR(__xludf.DUMMYFUNCTION("""COMPUTED_VALUE"""),"Thayetchaung")</f>
        <v>Thayetchaung</v>
      </c>
      <c r="E44" s="10">
        <f>IFERROR(__xludf.DUMMYFUNCTION("""COMPUTED_VALUE"""),43250.0)</f>
        <v>43250</v>
      </c>
    </row>
    <row r="45">
      <c r="A45" s="4" t="str">
        <f>IFERROR(__xludf.DUMMYFUNCTION("""COMPUTED_VALUE"""),"TNI0041")</f>
        <v>TNI0041</v>
      </c>
      <c r="B45" s="38">
        <f>IFERROR(__xludf.DUMMYFUNCTION("""COMPUTED_VALUE"""),98.15636)</f>
        <v>98.15636</v>
      </c>
      <c r="C45" s="38">
        <f>IFERROR(__xludf.DUMMYFUNCTION("""COMPUTED_VALUE"""),14.01129)</f>
        <v>14.01129</v>
      </c>
      <c r="D45" s="4" t="str">
        <f>IFERROR(__xludf.DUMMYFUNCTION("""COMPUTED_VALUE"""),"Launglon")</f>
        <v>Launglon</v>
      </c>
      <c r="E45" s="4">
        <f>IFERROR(__xludf.DUMMYFUNCTION("""COMPUTED_VALUE"""),43528.0)</f>
        <v>43528</v>
      </c>
    </row>
    <row r="46">
      <c r="A46" s="4" t="str">
        <f>IFERROR(__xludf.DUMMYFUNCTION("""COMPUTED_VALUE"""),"TNI0042")</f>
        <v>TNI0042</v>
      </c>
      <c r="B46" s="38">
        <f>IFERROR(__xludf.DUMMYFUNCTION("""COMPUTED_VALUE"""),98.653884)</f>
        <v>98.653884</v>
      </c>
      <c r="C46" s="38">
        <f>IFERROR(__xludf.DUMMYFUNCTION("""COMPUTED_VALUE"""),12.4662)</f>
        <v>12.4662</v>
      </c>
      <c r="D46" s="4" t="str">
        <f>IFERROR(__xludf.DUMMYFUNCTION("""COMPUTED_VALUE"""),"Myeik")</f>
        <v>Myeik</v>
      </c>
      <c r="E46" s="10">
        <f>IFERROR(__xludf.DUMMYFUNCTION("""COMPUTED_VALUE"""),43249.0)</f>
        <v>43249</v>
      </c>
    </row>
    <row r="47">
      <c r="A47" s="4" t="str">
        <f>IFERROR(__xludf.DUMMYFUNCTION("""COMPUTED_VALUE"""),"TNI0044")</f>
        <v>TNI0044</v>
      </c>
      <c r="B47" s="38">
        <f>IFERROR(__xludf.DUMMYFUNCTION("""COMPUTED_VALUE"""),98.69539)</f>
        <v>98.69539</v>
      </c>
      <c r="C47" s="38">
        <f>IFERROR(__xludf.DUMMYFUNCTION("""COMPUTED_VALUE"""),12.4978)</f>
        <v>12.4978</v>
      </c>
      <c r="D47" s="4" t="str">
        <f>IFERROR(__xludf.DUMMYFUNCTION("""COMPUTED_VALUE"""),"Myeik")</f>
        <v>Myeik</v>
      </c>
      <c r="E47" s="10">
        <f>IFERROR(__xludf.DUMMYFUNCTION("""COMPUTED_VALUE"""),43242.0)</f>
        <v>43242</v>
      </c>
    </row>
    <row r="48">
      <c r="A48" s="4" t="str">
        <f>IFERROR(__xludf.DUMMYFUNCTION("""COMPUTED_VALUE"""),"TNI0043")</f>
        <v>TNI0043</v>
      </c>
      <c r="B48" s="39">
        <f>IFERROR(__xludf.DUMMYFUNCTION("""COMPUTED_VALUE"""),98.052909)</f>
        <v>98.052909</v>
      </c>
      <c r="C48" s="39">
        <f>IFERROR(__xludf.DUMMYFUNCTION("""COMPUTED_VALUE"""),14.592186)</f>
        <v>14.592186</v>
      </c>
      <c r="D48" s="4" t="str">
        <f>IFERROR(__xludf.DUMMYFUNCTION("""COMPUTED_VALUE"""),"Yebyu")</f>
        <v>Yebyu</v>
      </c>
      <c r="E48" s="10">
        <f>IFERROR(__xludf.DUMMYFUNCTION("""COMPUTED_VALUE"""),45016.0)</f>
        <v>45016</v>
      </c>
    </row>
    <row r="49">
      <c r="A49" s="4" t="str">
        <f>IFERROR(__xludf.DUMMYFUNCTION("""COMPUTED_VALUE"""),"TNI0047")</f>
        <v>TNI0047</v>
      </c>
      <c r="B49" s="38">
        <f>IFERROR(__xludf.DUMMYFUNCTION("""COMPUTED_VALUE"""),98.6106)</f>
        <v>98.6106</v>
      </c>
      <c r="C49" s="38">
        <f>IFERROR(__xludf.DUMMYFUNCTION("""COMPUTED_VALUE"""),12.4199)</f>
        <v>12.4199</v>
      </c>
      <c r="D49" s="4" t="str">
        <f>IFERROR(__xludf.DUMMYFUNCTION("""COMPUTED_VALUE"""),"Myeik")</f>
        <v>Myeik</v>
      </c>
      <c r="E49" s="10">
        <f>IFERROR(__xludf.DUMMYFUNCTION("""COMPUTED_VALUE"""),43675.0)</f>
        <v>43675</v>
      </c>
    </row>
    <row r="50">
      <c r="A50" s="4" t="str">
        <f>IFERROR(__xludf.DUMMYFUNCTION("""COMPUTED_VALUE"""),"TNI0048")</f>
        <v>TNI0048</v>
      </c>
      <c r="B50" s="38">
        <f>IFERROR(__xludf.DUMMYFUNCTION("""COMPUTED_VALUE"""),98.61721)</f>
        <v>98.61721</v>
      </c>
      <c r="C50" s="38">
        <f>IFERROR(__xludf.DUMMYFUNCTION("""COMPUTED_VALUE"""),12.440288)</f>
        <v>12.440288</v>
      </c>
      <c r="D50" s="4" t="str">
        <f>IFERROR(__xludf.DUMMYFUNCTION("""COMPUTED_VALUE"""),"Myeik")</f>
        <v>Myeik</v>
      </c>
      <c r="E50" s="4">
        <f>IFERROR(__xludf.DUMMYFUNCTION("""COMPUTED_VALUE"""),43257.0)</f>
        <v>43257</v>
      </c>
    </row>
    <row r="51">
      <c r="A51" s="4" t="str">
        <f>IFERROR(__xludf.DUMMYFUNCTION("""COMPUTED_VALUE"""),"TNI0046")</f>
        <v>TNI0046</v>
      </c>
      <c r="B51" s="38">
        <f>IFERROR(__xludf.DUMMYFUNCTION("""COMPUTED_VALUE"""),98.265095)</f>
        <v>98.265095</v>
      </c>
      <c r="C51" s="38">
        <f>IFERROR(__xludf.DUMMYFUNCTION("""COMPUTED_VALUE"""),13.851055)</f>
        <v>13.851055</v>
      </c>
      <c r="D51" s="4" t="str">
        <f>IFERROR(__xludf.DUMMYFUNCTION("""COMPUTED_VALUE"""),"Thayetchaung")</f>
        <v>Thayetchaung</v>
      </c>
      <c r="E51" s="10">
        <f>IFERROR(__xludf.DUMMYFUNCTION("""COMPUTED_VALUE"""),43233.0)</f>
        <v>43233</v>
      </c>
    </row>
    <row r="52">
      <c r="A52" s="4" t="str">
        <f>IFERROR(__xludf.DUMMYFUNCTION("""COMPUTED_VALUE"""),"TNI0049")</f>
        <v>TNI0049</v>
      </c>
      <c r="B52" s="38">
        <f>IFERROR(__xludf.DUMMYFUNCTION("""COMPUTED_VALUE"""),98.23359)</f>
        <v>98.23359</v>
      </c>
      <c r="C52" s="38">
        <f>IFERROR(__xludf.DUMMYFUNCTION("""COMPUTED_VALUE"""),14.108816)</f>
        <v>14.108816</v>
      </c>
      <c r="D52" s="4" t="str">
        <f>IFERROR(__xludf.DUMMYFUNCTION("""COMPUTED_VALUE"""),"Dawei")</f>
        <v>Dawei</v>
      </c>
      <c r="E52" s="4">
        <f>IFERROR(__xludf.DUMMYFUNCTION("""COMPUTED_VALUE"""),43377.0)</f>
        <v>43377</v>
      </c>
    </row>
    <row r="53">
      <c r="A53" s="4" t="str">
        <f>IFERROR(__xludf.DUMMYFUNCTION("""COMPUTED_VALUE"""),"TNI0050")</f>
        <v>TNI0050</v>
      </c>
      <c r="B53" s="38">
        <f>IFERROR(__xludf.DUMMYFUNCTION("""COMPUTED_VALUE"""),98.22147)</f>
        <v>98.22147</v>
      </c>
      <c r="C53" s="38">
        <f>IFERROR(__xludf.DUMMYFUNCTION("""COMPUTED_VALUE"""),14.11554)</f>
        <v>14.11554</v>
      </c>
      <c r="D53" s="4" t="str">
        <f>IFERROR(__xludf.DUMMYFUNCTION("""COMPUTED_VALUE"""),"Dawei")</f>
        <v>Dawei</v>
      </c>
      <c r="E53" s="4">
        <f>IFERROR(__xludf.DUMMYFUNCTION("""COMPUTED_VALUE"""),43407.0)</f>
        <v>43407</v>
      </c>
    </row>
    <row r="54">
      <c r="A54" s="4" t="str">
        <f>IFERROR(__xludf.DUMMYFUNCTION("""COMPUTED_VALUE"""),"TNI0051")</f>
        <v>TNI0051</v>
      </c>
      <c r="B54" s="38">
        <f>IFERROR(__xludf.DUMMYFUNCTION("""COMPUTED_VALUE"""),98.160006)</f>
        <v>98.160006</v>
      </c>
      <c r="C54" s="38">
        <f>IFERROR(__xludf.DUMMYFUNCTION("""COMPUTED_VALUE"""),14.085617)</f>
        <v>14.085617</v>
      </c>
      <c r="D54" s="4" t="str">
        <f>IFERROR(__xludf.DUMMYFUNCTION("""COMPUTED_VALUE"""),"Launglon")</f>
        <v>Launglon</v>
      </c>
      <c r="E54" s="10">
        <f>IFERROR(__xludf.DUMMYFUNCTION("""COMPUTED_VALUE"""),43799.0)</f>
        <v>43799</v>
      </c>
    </row>
    <row r="55">
      <c r="A55" s="4" t="str">
        <f>IFERROR(__xludf.DUMMYFUNCTION("""COMPUTED_VALUE"""),"TNI0052")</f>
        <v>TNI0052</v>
      </c>
      <c r="B55" s="38">
        <f>IFERROR(__xludf.DUMMYFUNCTION("""COMPUTED_VALUE"""),98.14052)</f>
        <v>98.14052</v>
      </c>
      <c r="C55" s="38">
        <f>IFERROR(__xludf.DUMMYFUNCTION("""COMPUTED_VALUE"""),13.90509)</f>
        <v>13.90509</v>
      </c>
      <c r="D55" s="4" t="str">
        <f>IFERROR(__xludf.DUMMYFUNCTION("""COMPUTED_VALUE"""),"Launglon")</f>
        <v>Launglon</v>
      </c>
      <c r="E55" s="10">
        <f>IFERROR(__xludf.DUMMYFUNCTION("""COMPUTED_VALUE"""),43545.0)</f>
        <v>43545</v>
      </c>
    </row>
    <row r="56">
      <c r="A56" s="4" t="str">
        <f>IFERROR(__xludf.DUMMYFUNCTION("""COMPUTED_VALUE"""),"TNI0053")</f>
        <v>TNI0053</v>
      </c>
      <c r="B56" s="38">
        <f>IFERROR(__xludf.DUMMYFUNCTION("""COMPUTED_VALUE"""),98.214005)</f>
        <v>98.214005</v>
      </c>
      <c r="C56" s="38">
        <f>IFERROR(__xludf.DUMMYFUNCTION("""COMPUTED_VALUE"""),14.09375)</f>
        <v>14.09375</v>
      </c>
      <c r="D56" s="4" t="str">
        <f>IFERROR(__xludf.DUMMYFUNCTION("""COMPUTED_VALUE"""),"Dawei")</f>
        <v>Dawei</v>
      </c>
      <c r="E56" s="4">
        <f>IFERROR(__xludf.DUMMYFUNCTION("""COMPUTED_VALUE"""),43194.0)</f>
        <v>43194</v>
      </c>
    </row>
    <row r="57">
      <c r="A57" s="4" t="str">
        <f>IFERROR(__xludf.DUMMYFUNCTION("""COMPUTED_VALUE"""),"TNI0054")</f>
        <v>TNI0054</v>
      </c>
      <c r="B57" s="38">
        <f>IFERROR(__xludf.DUMMYFUNCTION("""COMPUTED_VALUE"""),98.19199)</f>
        <v>98.19199</v>
      </c>
      <c r="C57" s="38">
        <f>IFERROR(__xludf.DUMMYFUNCTION("""COMPUTED_VALUE"""),14.10372)</f>
        <v>14.10372</v>
      </c>
      <c r="D57" s="4" t="str">
        <f>IFERROR(__xludf.DUMMYFUNCTION("""COMPUTED_VALUE"""),"Dawei")</f>
        <v>Dawei</v>
      </c>
      <c r="E57" s="10">
        <f>IFERROR(__xludf.DUMMYFUNCTION("""COMPUTED_VALUE"""),43154.0)</f>
        <v>43154</v>
      </c>
    </row>
    <row r="58">
      <c r="A58" s="4" t="str">
        <f>IFERROR(__xludf.DUMMYFUNCTION("""COMPUTED_VALUE"""),"TNI0055")</f>
        <v>TNI0055</v>
      </c>
      <c r="B58" s="38">
        <f>IFERROR(__xludf.DUMMYFUNCTION("""COMPUTED_VALUE"""),98.17028)</f>
        <v>98.17028</v>
      </c>
      <c r="C58" s="38">
        <f>IFERROR(__xludf.DUMMYFUNCTION("""COMPUTED_VALUE"""),14.09206)</f>
        <v>14.09206</v>
      </c>
      <c r="D58" s="4" t="str">
        <f>IFERROR(__xludf.DUMMYFUNCTION("""COMPUTED_VALUE"""),"Launglon")</f>
        <v>Launglon</v>
      </c>
      <c r="E58" s="10">
        <f>IFERROR(__xludf.DUMMYFUNCTION("""COMPUTED_VALUE"""),43239.0)</f>
        <v>43239</v>
      </c>
    </row>
    <row r="59">
      <c r="A59" s="4" t="str">
        <f>IFERROR(__xludf.DUMMYFUNCTION("""COMPUTED_VALUE"""),"TNI0057")</f>
        <v>TNI0057</v>
      </c>
      <c r="B59" s="38">
        <f>IFERROR(__xludf.DUMMYFUNCTION("""COMPUTED_VALUE"""),98.54737)</f>
        <v>98.54737</v>
      </c>
      <c r="C59" s="38">
        <f>IFERROR(__xludf.DUMMYFUNCTION("""COMPUTED_VALUE"""),10.04116)</f>
        <v>10.04116</v>
      </c>
      <c r="D59" s="4" t="str">
        <f>IFERROR(__xludf.DUMMYFUNCTION("""COMPUTED_VALUE"""),"Kawthoung")</f>
        <v>Kawthoung</v>
      </c>
      <c r="E59" s="10">
        <f>IFERROR(__xludf.DUMMYFUNCTION("""COMPUTED_VALUE"""),43186.0)</f>
        <v>43186</v>
      </c>
    </row>
    <row r="60">
      <c r="A60" s="4" t="str">
        <f>IFERROR(__xludf.DUMMYFUNCTION("""COMPUTED_VALUE"""),"TNI0056")</f>
        <v>TNI0056</v>
      </c>
      <c r="B60" s="38">
        <f>IFERROR(__xludf.DUMMYFUNCTION("""COMPUTED_VALUE"""),98.181282)</f>
        <v>98.181282</v>
      </c>
      <c r="C60" s="38">
        <f>IFERROR(__xludf.DUMMYFUNCTION("""COMPUTED_VALUE"""),14.09447)</f>
        <v>14.09447</v>
      </c>
      <c r="D60" s="4" t="str">
        <f>IFERROR(__xludf.DUMMYFUNCTION("""COMPUTED_VALUE"""),"Dawei")</f>
        <v>Dawei</v>
      </c>
      <c r="E60" s="10">
        <f>IFERROR(__xludf.DUMMYFUNCTION("""COMPUTED_VALUE"""),43155.0)</f>
        <v>43155</v>
      </c>
    </row>
    <row r="61">
      <c r="A61" s="4" t="str">
        <f>IFERROR(__xludf.DUMMYFUNCTION("""COMPUTED_VALUE"""),"TNI0058")</f>
        <v>TNI0058</v>
      </c>
      <c r="B61" s="38">
        <f>IFERROR(__xludf.DUMMYFUNCTION("""COMPUTED_VALUE"""),98.208291)</f>
        <v>98.208291</v>
      </c>
      <c r="C61" s="38">
        <f>IFERROR(__xludf.DUMMYFUNCTION("""COMPUTED_VALUE"""),14.107345)</f>
        <v>14.107345</v>
      </c>
      <c r="D61" s="4" t="str">
        <f>IFERROR(__xludf.DUMMYFUNCTION("""COMPUTED_VALUE"""),"Dawei")</f>
        <v>Dawei</v>
      </c>
      <c r="E61" s="10">
        <f>IFERROR(__xludf.DUMMYFUNCTION("""COMPUTED_VALUE"""),43390.0)</f>
        <v>43390</v>
      </c>
    </row>
    <row r="62">
      <c r="A62" s="4" t="str">
        <f>IFERROR(__xludf.DUMMYFUNCTION("""COMPUTED_VALUE"""),"TNI0059")</f>
        <v>TNI0059</v>
      </c>
      <c r="B62" s="38">
        <f>IFERROR(__xludf.DUMMYFUNCTION("""COMPUTED_VALUE"""),98.19754)</f>
        <v>98.19754</v>
      </c>
      <c r="C62" s="38">
        <f>IFERROR(__xludf.DUMMYFUNCTION("""COMPUTED_VALUE"""),14.09333)</f>
        <v>14.09333</v>
      </c>
      <c r="D62" s="4" t="str">
        <f>IFERROR(__xludf.DUMMYFUNCTION("""COMPUTED_VALUE"""),"Dawei")</f>
        <v>Dawei</v>
      </c>
      <c r="E62" s="10">
        <f>IFERROR(__xludf.DUMMYFUNCTION("""COMPUTED_VALUE"""),43149.0)</f>
        <v>43149</v>
      </c>
    </row>
    <row r="63">
      <c r="A63" s="4" t="str">
        <f>IFERROR(__xludf.DUMMYFUNCTION("""COMPUTED_VALUE"""),"TNI0060")</f>
        <v>TNI0060</v>
      </c>
      <c r="B63" s="38">
        <f>IFERROR(__xludf.DUMMYFUNCTION("""COMPUTED_VALUE"""),98.211059)</f>
        <v>98.211059</v>
      </c>
      <c r="C63" s="38">
        <f>IFERROR(__xludf.DUMMYFUNCTION("""COMPUTED_VALUE"""),14.07826)</f>
        <v>14.07826</v>
      </c>
      <c r="D63" s="4" t="str">
        <f>IFERROR(__xludf.DUMMYFUNCTION("""COMPUTED_VALUE"""),"Dawei")</f>
        <v>Dawei</v>
      </c>
      <c r="E63" s="4">
        <f>IFERROR(__xludf.DUMMYFUNCTION("""COMPUTED_VALUE"""),43437.0)</f>
        <v>43437</v>
      </c>
    </row>
    <row r="64">
      <c r="A64" s="4" t="str">
        <f>IFERROR(__xludf.DUMMYFUNCTION("""COMPUTED_VALUE"""),"TNI0061")</f>
        <v>TNI0061</v>
      </c>
      <c r="B64" s="38">
        <f>IFERROR(__xludf.DUMMYFUNCTION("""COMPUTED_VALUE"""),98.22375)</f>
        <v>98.22375</v>
      </c>
      <c r="C64" s="38">
        <f>IFERROR(__xludf.DUMMYFUNCTION("""COMPUTED_VALUE"""),14.1058)</f>
        <v>14.1058</v>
      </c>
      <c r="D64" s="4" t="str">
        <f>IFERROR(__xludf.DUMMYFUNCTION("""COMPUTED_VALUE"""),"Dawei")</f>
        <v>Dawei</v>
      </c>
      <c r="E64" s="10">
        <f>IFERROR(__xludf.DUMMYFUNCTION("""COMPUTED_VALUE"""),43190.0)</f>
        <v>43190</v>
      </c>
    </row>
    <row r="65">
      <c r="A65" s="4" t="str">
        <f>IFERROR(__xludf.DUMMYFUNCTION("""COMPUTED_VALUE"""),"TNI0063")</f>
        <v>TNI0063</v>
      </c>
      <c r="B65" s="38">
        <f>IFERROR(__xludf.DUMMYFUNCTION("""COMPUTED_VALUE"""),98.60509)</f>
        <v>98.60509</v>
      </c>
      <c r="C65" s="38">
        <f>IFERROR(__xludf.DUMMYFUNCTION("""COMPUTED_VALUE"""),10.2509)</f>
        <v>10.2509</v>
      </c>
      <c r="D65" s="4" t="str">
        <f>IFERROR(__xludf.DUMMYFUNCTION("""COMPUTED_VALUE"""),"Kawthoung")</f>
        <v>Kawthoung</v>
      </c>
      <c r="E65" s="10">
        <f>IFERROR(__xludf.DUMMYFUNCTION("""COMPUTED_VALUE"""),43185.0)</f>
        <v>43185</v>
      </c>
    </row>
    <row r="66">
      <c r="A66" s="4" t="str">
        <f>IFERROR(__xludf.DUMMYFUNCTION("""COMPUTED_VALUE"""),"TNI0064")</f>
        <v>TNI0064</v>
      </c>
      <c r="B66" s="38">
        <f>IFERROR(__xludf.DUMMYFUNCTION("""COMPUTED_VALUE"""),98.53729)</f>
        <v>98.53729</v>
      </c>
      <c r="C66" s="38">
        <f>IFERROR(__xludf.DUMMYFUNCTION("""COMPUTED_VALUE"""),10.03106)</f>
        <v>10.03106</v>
      </c>
      <c r="D66" s="4" t="str">
        <f>IFERROR(__xludf.DUMMYFUNCTION("""COMPUTED_VALUE"""),"Kawthoung")</f>
        <v>Kawthoung</v>
      </c>
      <c r="E66" s="10">
        <f>IFERROR(__xludf.DUMMYFUNCTION("""COMPUTED_VALUE"""),43248.0)</f>
        <v>43248</v>
      </c>
    </row>
    <row r="67">
      <c r="A67" s="4" t="str">
        <f>IFERROR(__xludf.DUMMYFUNCTION("""COMPUTED_VALUE"""),"TNI0062")</f>
        <v>TNI0062</v>
      </c>
      <c r="B67" s="38">
        <f>IFERROR(__xludf.DUMMYFUNCTION("""COMPUTED_VALUE"""),98.18778)</f>
        <v>98.18778</v>
      </c>
      <c r="C67" s="38">
        <f>IFERROR(__xludf.DUMMYFUNCTION("""COMPUTED_VALUE"""),14.0886)</f>
        <v>14.0886</v>
      </c>
      <c r="D67" s="4" t="str">
        <f>IFERROR(__xludf.DUMMYFUNCTION("""COMPUTED_VALUE"""),"Dawei")</f>
        <v>Dawei</v>
      </c>
      <c r="E67" s="10">
        <f>IFERROR(__xludf.DUMMYFUNCTION("""COMPUTED_VALUE"""),43237.0)</f>
        <v>43237</v>
      </c>
    </row>
    <row r="68">
      <c r="A68" s="4" t="str">
        <f>IFERROR(__xludf.DUMMYFUNCTION("""COMPUTED_VALUE"""),"TNI0065")</f>
        <v>TNI0065</v>
      </c>
      <c r="B68" s="38">
        <f>IFERROR(__xludf.DUMMYFUNCTION("""COMPUTED_VALUE"""),98.204585)</f>
        <v>98.204585</v>
      </c>
      <c r="C68" s="38">
        <f>IFERROR(__xludf.DUMMYFUNCTION("""COMPUTED_VALUE"""),14.074415)</f>
        <v>14.074415</v>
      </c>
      <c r="D68" s="4" t="str">
        <f>IFERROR(__xludf.DUMMYFUNCTION("""COMPUTED_VALUE"""),"Dawei")</f>
        <v>Dawei</v>
      </c>
      <c r="E68" s="4">
        <f>IFERROR(__xludf.DUMMYFUNCTION("""COMPUTED_VALUE"""),43382.0)</f>
        <v>43382</v>
      </c>
    </row>
    <row r="69">
      <c r="A69" s="4" t="str">
        <f>IFERROR(__xludf.DUMMYFUNCTION("""COMPUTED_VALUE"""),"TNI0066")</f>
        <v>TNI0066</v>
      </c>
      <c r="B69" s="38">
        <f>IFERROR(__xludf.DUMMYFUNCTION("""COMPUTED_VALUE"""),98.19097)</f>
        <v>98.19097</v>
      </c>
      <c r="C69" s="38">
        <f>IFERROR(__xludf.DUMMYFUNCTION("""COMPUTED_VALUE"""),14.0587)</f>
        <v>14.0587</v>
      </c>
      <c r="D69" s="4" t="str">
        <f>IFERROR(__xludf.DUMMYFUNCTION("""COMPUTED_VALUE"""),"Dawei")</f>
        <v>Dawei</v>
      </c>
      <c r="E69" s="10">
        <f>IFERROR(__xludf.DUMMYFUNCTION("""COMPUTED_VALUE"""),43151.0)</f>
        <v>43151</v>
      </c>
    </row>
    <row r="70">
      <c r="A70" s="4" t="str">
        <f>IFERROR(__xludf.DUMMYFUNCTION("""COMPUTED_VALUE"""),"TNI0067")</f>
        <v>TNI0067</v>
      </c>
      <c r="B70" s="38">
        <f>IFERROR(__xludf.DUMMYFUNCTION("""COMPUTED_VALUE"""),98.189626)</f>
        <v>98.189626</v>
      </c>
      <c r="C70" s="38">
        <f>IFERROR(__xludf.DUMMYFUNCTION("""COMPUTED_VALUE"""),14.076399)</f>
        <v>14.076399</v>
      </c>
      <c r="D70" s="4" t="str">
        <f>IFERROR(__xludf.DUMMYFUNCTION("""COMPUTED_VALUE"""),"Dawei")</f>
        <v>Dawei</v>
      </c>
      <c r="E70" s="41">
        <f>IFERROR(__xludf.DUMMYFUNCTION("""COMPUTED_VALUE"""),43382.0)</f>
        <v>43382</v>
      </c>
    </row>
    <row r="71">
      <c r="A71" s="4" t="str">
        <f>IFERROR(__xludf.DUMMYFUNCTION("""COMPUTED_VALUE"""),"TNI0068")</f>
        <v>TNI0068</v>
      </c>
      <c r="B71" s="38">
        <f>IFERROR(__xludf.DUMMYFUNCTION("""COMPUTED_VALUE"""),98.19342)</f>
        <v>98.19342</v>
      </c>
      <c r="C71" s="38">
        <f>IFERROR(__xludf.DUMMYFUNCTION("""COMPUTED_VALUE"""),14.071786)</f>
        <v>14.071786</v>
      </c>
      <c r="D71" s="4" t="str">
        <f>IFERROR(__xludf.DUMMYFUNCTION("""COMPUTED_VALUE"""),"Dawei")</f>
        <v>Dawei</v>
      </c>
      <c r="E71" s="10">
        <f>IFERROR(__xludf.DUMMYFUNCTION("""COMPUTED_VALUE"""),43245.0)</f>
        <v>43245</v>
      </c>
    </row>
    <row r="72">
      <c r="A72" s="4" t="str">
        <f>IFERROR(__xludf.DUMMYFUNCTION("""COMPUTED_VALUE"""),"TNI0069")</f>
        <v>TNI0069</v>
      </c>
      <c r="B72" s="38">
        <f>IFERROR(__xludf.DUMMYFUNCTION("""COMPUTED_VALUE"""),98.190296)</f>
        <v>98.190296</v>
      </c>
      <c r="C72" s="38">
        <f>IFERROR(__xludf.DUMMYFUNCTION("""COMPUTED_VALUE"""),14.070218)</f>
        <v>14.070218</v>
      </c>
      <c r="D72" s="4" t="str">
        <f>IFERROR(__xludf.DUMMYFUNCTION("""COMPUTED_VALUE"""),"Dawei")</f>
        <v>Dawei</v>
      </c>
      <c r="E72" s="10">
        <f>IFERROR(__xludf.DUMMYFUNCTION("""COMPUTED_VALUE"""),43179.0)</f>
        <v>43179</v>
      </c>
    </row>
    <row r="73">
      <c r="A73" s="4" t="str">
        <f>IFERROR(__xludf.DUMMYFUNCTION("""COMPUTED_VALUE"""),"TNI0070")</f>
        <v>TNI0070</v>
      </c>
      <c r="B73" s="38">
        <f>IFERROR(__xludf.DUMMYFUNCTION("""COMPUTED_VALUE"""),98.185253)</f>
        <v>98.185253</v>
      </c>
      <c r="C73" s="38">
        <f>IFERROR(__xludf.DUMMYFUNCTION("""COMPUTED_VALUE"""),14.076424)</f>
        <v>14.076424</v>
      </c>
      <c r="D73" s="4" t="str">
        <f>IFERROR(__xludf.DUMMYFUNCTION("""COMPUTED_VALUE"""),"Dawei")</f>
        <v>Dawei</v>
      </c>
      <c r="E73" s="4">
        <f>IFERROR(__xludf.DUMMYFUNCTION("""COMPUTED_VALUE"""),43255.0)</f>
        <v>43255</v>
      </c>
    </row>
    <row r="74">
      <c r="A74" s="4" t="str">
        <f>IFERROR(__xludf.DUMMYFUNCTION("""COMPUTED_VALUE"""),"TNI0071")</f>
        <v>TNI0071</v>
      </c>
      <c r="B74" s="38">
        <f>IFERROR(__xludf.DUMMYFUNCTION("""COMPUTED_VALUE"""),98.193756)</f>
        <v>98.193756</v>
      </c>
      <c r="C74" s="38">
        <f>IFERROR(__xludf.DUMMYFUNCTION("""COMPUTED_VALUE"""),14.084724)</f>
        <v>14.084724</v>
      </c>
      <c r="D74" s="4" t="str">
        <f>IFERROR(__xludf.DUMMYFUNCTION("""COMPUTED_VALUE"""),"Dawei")</f>
        <v>Dawei</v>
      </c>
      <c r="E74" s="4">
        <f>IFERROR(__xludf.DUMMYFUNCTION("""COMPUTED_VALUE"""),43170.0)</f>
        <v>43170</v>
      </c>
    </row>
    <row r="75">
      <c r="A75" s="4" t="str">
        <f>IFERROR(__xludf.DUMMYFUNCTION("""COMPUTED_VALUE"""),"TNI0072")</f>
        <v>TNI0072</v>
      </c>
      <c r="B75" s="38">
        <f>IFERROR(__xludf.DUMMYFUNCTION("""COMPUTED_VALUE"""),98.206858)</f>
        <v>98.206858</v>
      </c>
      <c r="C75" s="38">
        <f>IFERROR(__xludf.DUMMYFUNCTION("""COMPUTED_VALUE"""),14.07816)</f>
        <v>14.07816</v>
      </c>
      <c r="D75" s="4" t="str">
        <f>IFERROR(__xludf.DUMMYFUNCTION("""COMPUTED_VALUE"""),"Dawei")</f>
        <v>Dawei</v>
      </c>
      <c r="E75" s="4">
        <f>IFERROR(__xludf.DUMMYFUNCTION("""COMPUTED_VALUE"""),43318.0)</f>
        <v>43318</v>
      </c>
    </row>
    <row r="76">
      <c r="A76" s="4" t="str">
        <f>IFERROR(__xludf.DUMMYFUNCTION("""COMPUTED_VALUE"""),"TNI0075")</f>
        <v>TNI0075</v>
      </c>
      <c r="B76" s="38">
        <f>IFERROR(__xludf.DUMMYFUNCTION("""COMPUTED_VALUE"""),98.64482)</f>
        <v>98.64482</v>
      </c>
      <c r="C76" s="38">
        <f>IFERROR(__xludf.DUMMYFUNCTION("""COMPUTED_VALUE"""),12.97804)</f>
        <v>12.97804</v>
      </c>
      <c r="D76" s="4" t="str">
        <f>IFERROR(__xludf.DUMMYFUNCTION("""COMPUTED_VALUE"""),"Palaw")</f>
        <v>Palaw</v>
      </c>
      <c r="E76" s="10">
        <f>IFERROR(__xludf.DUMMYFUNCTION("""COMPUTED_VALUE"""),43189.0)</f>
        <v>43189</v>
      </c>
    </row>
    <row r="77">
      <c r="A77" s="4" t="str">
        <f>IFERROR(__xludf.DUMMYFUNCTION("""COMPUTED_VALUE"""),"TNI0076")</f>
        <v>TNI0076</v>
      </c>
      <c r="B77" s="38">
        <f>IFERROR(__xludf.DUMMYFUNCTION("""COMPUTED_VALUE"""),98.6144)</f>
        <v>98.6144</v>
      </c>
      <c r="C77" s="38">
        <f>IFERROR(__xludf.DUMMYFUNCTION("""COMPUTED_VALUE"""),12.46757)</f>
        <v>12.46757</v>
      </c>
      <c r="D77" s="4" t="str">
        <f>IFERROR(__xludf.DUMMYFUNCTION("""COMPUTED_VALUE"""),"Myeik")</f>
        <v>Myeik</v>
      </c>
      <c r="E77" s="4">
        <f>IFERROR(__xludf.DUMMYFUNCTION("""COMPUTED_VALUE"""),43104.0)</f>
        <v>43104</v>
      </c>
    </row>
    <row r="78">
      <c r="A78" s="4" t="str">
        <f>IFERROR(__xludf.DUMMYFUNCTION("""COMPUTED_VALUE"""),"TNI0077")</f>
        <v>TNI0077</v>
      </c>
      <c r="B78" s="38">
        <f>IFERROR(__xludf.DUMMYFUNCTION("""COMPUTED_VALUE"""),98.6293)</f>
        <v>98.6293</v>
      </c>
      <c r="C78" s="38">
        <f>IFERROR(__xludf.DUMMYFUNCTION("""COMPUTED_VALUE"""),12.45844)</f>
        <v>12.45844</v>
      </c>
      <c r="D78" s="4" t="str">
        <f>IFERROR(__xludf.DUMMYFUNCTION("""COMPUTED_VALUE"""),"Myeik")</f>
        <v>Myeik</v>
      </c>
      <c r="E78" s="4">
        <f>IFERROR(__xludf.DUMMYFUNCTION("""COMPUTED_VALUE"""),43163.0)</f>
        <v>43163</v>
      </c>
    </row>
    <row r="79">
      <c r="A79" s="4" t="str">
        <f>IFERROR(__xludf.DUMMYFUNCTION("""COMPUTED_VALUE"""),"TNI0073")</f>
        <v>TNI0073</v>
      </c>
      <c r="B79" s="38">
        <f>IFERROR(__xludf.DUMMYFUNCTION("""COMPUTED_VALUE"""),98.205622)</f>
        <v>98.205622</v>
      </c>
      <c r="C79" s="38">
        <f>IFERROR(__xludf.DUMMYFUNCTION("""COMPUTED_VALUE"""),14.088843)</f>
        <v>14.088843</v>
      </c>
      <c r="D79" s="4" t="str">
        <f>IFERROR(__xludf.DUMMYFUNCTION("""COMPUTED_VALUE"""),"Dawei")</f>
        <v>Dawei</v>
      </c>
      <c r="E79" s="4">
        <f>IFERROR(__xludf.DUMMYFUNCTION("""COMPUTED_VALUE"""),43162.0)</f>
        <v>43162</v>
      </c>
    </row>
    <row r="80">
      <c r="A80" s="4" t="str">
        <f>IFERROR(__xludf.DUMMYFUNCTION("""COMPUTED_VALUE"""),"TNI0079")</f>
        <v>TNI0079</v>
      </c>
      <c r="B80" s="38">
        <f>IFERROR(__xludf.DUMMYFUNCTION("""COMPUTED_VALUE"""),99.01503)</f>
        <v>99.01503</v>
      </c>
      <c r="C80" s="38">
        <f>IFERROR(__xludf.DUMMYFUNCTION("""COMPUTED_VALUE"""),12.0862)</f>
        <v>12.0862</v>
      </c>
      <c r="D80" s="4" t="str">
        <f>IFERROR(__xludf.DUMMYFUNCTION("""COMPUTED_VALUE"""),"Tanintharyi")</f>
        <v>Tanintharyi</v>
      </c>
      <c r="E80" s="10">
        <f>IFERROR(__xludf.DUMMYFUNCTION("""COMPUTED_VALUE"""),43273.0)</f>
        <v>43273</v>
      </c>
    </row>
    <row r="81">
      <c r="A81" s="4" t="str">
        <f>IFERROR(__xludf.DUMMYFUNCTION("""COMPUTED_VALUE"""),"TNI0080")</f>
        <v>TNI0080</v>
      </c>
      <c r="B81" s="38">
        <f>IFERROR(__xludf.DUMMYFUNCTION("""COMPUTED_VALUE"""),98.5623)</f>
        <v>98.5623</v>
      </c>
      <c r="C81" s="38">
        <f>IFERROR(__xludf.DUMMYFUNCTION("""COMPUTED_VALUE"""),10.01604)</f>
        <v>10.01604</v>
      </c>
      <c r="D81" s="4" t="str">
        <f>IFERROR(__xludf.DUMMYFUNCTION("""COMPUTED_VALUE"""),"Kawthoung")</f>
        <v>Kawthoung</v>
      </c>
      <c r="E81" s="10">
        <f>IFERROR(__xludf.DUMMYFUNCTION("""COMPUTED_VALUE"""),43431.0)</f>
        <v>43431</v>
      </c>
    </row>
    <row r="82">
      <c r="A82" s="4" t="str">
        <f>IFERROR(__xludf.DUMMYFUNCTION("""COMPUTED_VALUE"""),"TNI0081")</f>
        <v>TNI0081</v>
      </c>
      <c r="B82" s="38">
        <f>IFERROR(__xludf.DUMMYFUNCTION("""COMPUTED_VALUE"""),98.608495)</f>
        <v>98.608495</v>
      </c>
      <c r="C82" s="38">
        <f>IFERROR(__xludf.DUMMYFUNCTION("""COMPUTED_VALUE"""),12.433827)</f>
        <v>12.433827</v>
      </c>
      <c r="D82" s="4" t="str">
        <f>IFERROR(__xludf.DUMMYFUNCTION("""COMPUTED_VALUE"""),"Myeik")</f>
        <v>Myeik</v>
      </c>
      <c r="E82" s="4">
        <f>IFERROR(__xludf.DUMMYFUNCTION("""COMPUTED_VALUE"""),43498.0)</f>
        <v>43498</v>
      </c>
    </row>
    <row r="83">
      <c r="A83" s="4" t="str">
        <f>IFERROR(__xludf.DUMMYFUNCTION("""COMPUTED_VALUE"""),"TNI0088")</f>
        <v>TNI0088</v>
      </c>
      <c r="B83" s="38">
        <f>IFERROR(__xludf.DUMMYFUNCTION("""COMPUTED_VALUE"""),98.52923)</f>
        <v>98.52923</v>
      </c>
      <c r="C83" s="38">
        <f>IFERROR(__xludf.DUMMYFUNCTION("""COMPUTED_VALUE"""),13.25343)</f>
        <v>13.25343</v>
      </c>
      <c r="D83" s="4" t="str">
        <f>IFERROR(__xludf.DUMMYFUNCTION("""COMPUTED_VALUE"""),"Palaw")</f>
        <v>Palaw</v>
      </c>
      <c r="E83" s="4">
        <f>IFERROR(__xludf.DUMMYFUNCTION("""COMPUTED_VALUE"""),45414.31956)</f>
        <v>45414.31956</v>
      </c>
    </row>
    <row r="84">
      <c r="A84" s="4" t="str">
        <f>IFERROR(__xludf.DUMMYFUNCTION("""COMPUTED_VALUE"""),"TNI0078")</f>
        <v>TNI0078</v>
      </c>
      <c r="B84" s="38">
        <f>IFERROR(__xludf.DUMMYFUNCTION("""COMPUTED_VALUE"""),98.23305)</f>
        <v>98.23305</v>
      </c>
      <c r="C84" s="38">
        <f>IFERROR(__xludf.DUMMYFUNCTION("""COMPUTED_VALUE"""),13.98723)</f>
        <v>13.98723</v>
      </c>
      <c r="D84" s="4" t="str">
        <f>IFERROR(__xludf.DUMMYFUNCTION("""COMPUTED_VALUE"""),"Thayetchaung")</f>
        <v>Thayetchaung</v>
      </c>
      <c r="E84" s="4">
        <f>IFERROR(__xludf.DUMMYFUNCTION("""COMPUTED_VALUE"""),43195.0)</f>
        <v>43195</v>
      </c>
    </row>
    <row r="85">
      <c r="A85" s="4" t="str">
        <f>IFERROR(__xludf.DUMMYFUNCTION("""COMPUTED_VALUE"""),"TNI0090")</f>
        <v>TNI0090</v>
      </c>
      <c r="B85" s="38">
        <f>IFERROR(__xludf.DUMMYFUNCTION("""COMPUTED_VALUE"""),98.4924)</f>
        <v>98.4924</v>
      </c>
      <c r="C85" s="38">
        <f>IFERROR(__xludf.DUMMYFUNCTION("""COMPUTED_VALUE"""),13.35457)</f>
        <v>13.35457</v>
      </c>
      <c r="D85" s="4" t="str">
        <f>IFERROR(__xludf.DUMMYFUNCTION("""COMPUTED_VALUE"""),"Thayetchaung")</f>
        <v>Thayetchaung</v>
      </c>
      <c r="E85" s="4">
        <f>IFERROR(__xludf.DUMMYFUNCTION("""COMPUTED_VALUE"""),43164.0)</f>
        <v>43164</v>
      </c>
    </row>
    <row r="86">
      <c r="A86" s="4" t="str">
        <f>IFERROR(__xludf.DUMMYFUNCTION("""COMPUTED_VALUE"""),"TNI0089")</f>
        <v>TNI0089</v>
      </c>
      <c r="B86" s="38">
        <f>IFERROR(__xludf.DUMMYFUNCTION("""COMPUTED_VALUE"""),98.224511)</f>
        <v>98.224511</v>
      </c>
      <c r="C86" s="38">
        <f>IFERROR(__xludf.DUMMYFUNCTION("""COMPUTED_VALUE"""),14.010927)</f>
        <v>14.010927</v>
      </c>
      <c r="D86" s="4" t="str">
        <f>IFERROR(__xludf.DUMMYFUNCTION("""COMPUTED_VALUE"""),"Dawei")</f>
        <v>Dawei</v>
      </c>
      <c r="E86" s="10">
        <f>IFERROR(__xludf.DUMMYFUNCTION("""COMPUTED_VALUE"""),43172.0)</f>
        <v>43172</v>
      </c>
    </row>
    <row r="87">
      <c r="A87" s="4" t="str">
        <f>IFERROR(__xludf.DUMMYFUNCTION("""COMPUTED_VALUE"""),"TNI0103")</f>
        <v>TNI0103</v>
      </c>
      <c r="B87" s="38">
        <f>IFERROR(__xludf.DUMMYFUNCTION("""COMPUTED_VALUE"""),99.05204)</f>
        <v>99.05204</v>
      </c>
      <c r="C87" s="38">
        <f>IFERROR(__xludf.DUMMYFUNCTION("""COMPUTED_VALUE"""),11.58103)</f>
        <v>11.58103</v>
      </c>
      <c r="D87" s="4" t="str">
        <f>IFERROR(__xludf.DUMMYFUNCTION("""COMPUTED_VALUE"""),"Bokpyin")</f>
        <v>Bokpyin</v>
      </c>
      <c r="E87" s="10">
        <f>IFERROR(__xludf.DUMMYFUNCTION("""COMPUTED_VALUE"""),43295.0)</f>
        <v>43295</v>
      </c>
    </row>
    <row r="88">
      <c r="A88" s="4" t="str">
        <f>IFERROR(__xludf.DUMMYFUNCTION("""COMPUTED_VALUE"""),"TNI0105")</f>
        <v>TNI0105</v>
      </c>
      <c r="B88" s="38">
        <f>IFERROR(__xludf.DUMMYFUNCTION("""COMPUTED_VALUE"""),99.05791)</f>
        <v>99.05791</v>
      </c>
      <c r="C88" s="38">
        <f>IFERROR(__xludf.DUMMYFUNCTION("""COMPUTED_VALUE"""),11.64351)</f>
        <v>11.64351</v>
      </c>
      <c r="D88" s="4" t="str">
        <f>IFERROR(__xludf.DUMMYFUNCTION("""COMPUTED_VALUE"""),"Bokpyin")</f>
        <v>Bokpyin</v>
      </c>
      <c r="E88" s="10">
        <f>IFERROR(__xludf.DUMMYFUNCTION("""COMPUTED_VALUE"""),43303.0)</f>
        <v>43303</v>
      </c>
    </row>
    <row r="89">
      <c r="A89" s="4" t="str">
        <f>IFERROR(__xludf.DUMMYFUNCTION("""COMPUTED_VALUE"""),"TNI0107")</f>
        <v>TNI0107</v>
      </c>
      <c r="B89" s="38">
        <f>IFERROR(__xludf.DUMMYFUNCTION("""COMPUTED_VALUE"""),98.71765)</f>
        <v>98.71765</v>
      </c>
      <c r="C89" s="38">
        <f>IFERROR(__xludf.DUMMYFUNCTION("""COMPUTED_VALUE"""),12.41947)</f>
        <v>12.41947</v>
      </c>
      <c r="D89" s="4" t="str">
        <f>IFERROR(__xludf.DUMMYFUNCTION("""COMPUTED_VALUE"""),"Myeik")</f>
        <v>Myeik</v>
      </c>
      <c r="E89" s="4">
        <f>IFERROR(__xludf.DUMMYFUNCTION("""COMPUTED_VALUE"""),43347.0)</f>
        <v>43347</v>
      </c>
    </row>
    <row r="90">
      <c r="A90" s="4" t="str">
        <f>IFERROR(__xludf.DUMMYFUNCTION("""COMPUTED_VALUE"""),"TNI0108")</f>
        <v>TNI0108</v>
      </c>
      <c r="B90" s="38">
        <f>IFERROR(__xludf.DUMMYFUNCTION("""COMPUTED_VALUE"""),98.728898)</f>
        <v>98.728898</v>
      </c>
      <c r="C90" s="38">
        <f>IFERROR(__xludf.DUMMYFUNCTION("""COMPUTED_VALUE"""),12.74748)</f>
        <v>12.74748</v>
      </c>
      <c r="D90" s="4" t="str">
        <f>IFERROR(__xludf.DUMMYFUNCTION("""COMPUTED_VALUE"""),"Palaw")</f>
        <v>Palaw</v>
      </c>
      <c r="E90" s="10">
        <f>IFERROR(__xludf.DUMMYFUNCTION("""COMPUTED_VALUE"""),43181.0)</f>
        <v>43181</v>
      </c>
    </row>
    <row r="91">
      <c r="A91" s="4" t="str">
        <f>IFERROR(__xludf.DUMMYFUNCTION("""COMPUTED_VALUE"""),"TNI0109")</f>
        <v>TNI0109</v>
      </c>
      <c r="B91" s="38">
        <f>IFERROR(__xludf.DUMMYFUNCTION("""COMPUTED_VALUE"""),98.55951)</f>
        <v>98.55951</v>
      </c>
      <c r="C91" s="38">
        <f>IFERROR(__xludf.DUMMYFUNCTION("""COMPUTED_VALUE"""),13.26006)</f>
        <v>13.26006</v>
      </c>
      <c r="D91" s="4" t="str">
        <f>IFERROR(__xludf.DUMMYFUNCTION("""COMPUTED_VALUE"""),"Palaw")</f>
        <v>Palaw</v>
      </c>
      <c r="E91" s="4">
        <f>IFERROR(__xludf.DUMMYFUNCTION("""COMPUTED_VALUE"""),43348.0)</f>
        <v>43348</v>
      </c>
    </row>
    <row r="92">
      <c r="A92" s="4" t="str">
        <f>IFERROR(__xludf.DUMMYFUNCTION("""COMPUTED_VALUE"""),"TNI0095")</f>
        <v>TNI0095</v>
      </c>
      <c r="B92" s="38">
        <f>IFERROR(__xludf.DUMMYFUNCTION("""COMPUTED_VALUE"""),98.16399)</f>
        <v>98.16399</v>
      </c>
      <c r="C92" s="38">
        <f>IFERROR(__xludf.DUMMYFUNCTION("""COMPUTED_VALUE"""),13.8334)</f>
        <v>13.8334</v>
      </c>
      <c r="D92" s="4" t="str">
        <f>IFERROR(__xludf.DUMMYFUNCTION("""COMPUTED_VALUE"""),"Launglon")</f>
        <v>Launglon</v>
      </c>
      <c r="E92" s="10">
        <f>IFERROR(__xludf.DUMMYFUNCTION("""COMPUTED_VALUE"""),43251.0)</f>
        <v>43251</v>
      </c>
    </row>
    <row r="93">
      <c r="A93" s="4" t="str">
        <f>IFERROR(__xludf.DUMMYFUNCTION("""COMPUTED_VALUE"""),"TNI0116")</f>
        <v>TNI0116</v>
      </c>
      <c r="B93" s="38">
        <f>IFERROR(__xludf.DUMMYFUNCTION("""COMPUTED_VALUE"""),99.02325)</f>
        <v>99.02325</v>
      </c>
      <c r="C93" s="38">
        <f>IFERROR(__xludf.DUMMYFUNCTION("""COMPUTED_VALUE"""),11.99671)</f>
        <v>11.99671</v>
      </c>
      <c r="D93" s="4" t="str">
        <f>IFERROR(__xludf.DUMMYFUNCTION("""COMPUTED_VALUE"""),"Tanintharyi")</f>
        <v>Tanintharyi</v>
      </c>
      <c r="E93" s="10">
        <f>IFERROR(__xludf.DUMMYFUNCTION("""COMPUTED_VALUE"""),43279.0)</f>
        <v>43279</v>
      </c>
    </row>
    <row r="94">
      <c r="A94" s="4" t="str">
        <f>IFERROR(__xludf.DUMMYFUNCTION("""COMPUTED_VALUE"""),"TNI0118")</f>
        <v>TNI0118</v>
      </c>
      <c r="B94" s="39">
        <f>IFERROR(__xludf.DUMMYFUNCTION("""COMPUTED_VALUE"""),98.5463)</f>
        <v>98.5463</v>
      </c>
      <c r="C94" s="39">
        <f>IFERROR(__xludf.DUMMYFUNCTION("""COMPUTED_VALUE"""),11.29403)</f>
        <v>11.29403</v>
      </c>
      <c r="D94" s="4" t="str">
        <f>IFERROR(__xludf.DUMMYFUNCTION("""COMPUTED_VALUE"""),"Bokpyin")</f>
        <v>Bokpyin</v>
      </c>
      <c r="E94" s="10">
        <f>IFERROR(__xludf.DUMMYFUNCTION("""COMPUTED_VALUE"""),43361.0)</f>
        <v>43361</v>
      </c>
    </row>
    <row r="95">
      <c r="A95" s="4" t="str">
        <f>IFERROR(__xludf.DUMMYFUNCTION("""COMPUTED_VALUE"""),"TNI0120")</f>
        <v>TNI0120</v>
      </c>
      <c r="B95" s="38">
        <f>IFERROR(__xludf.DUMMYFUNCTION("""COMPUTED_VALUE"""),98.507335)</f>
        <v>98.507335</v>
      </c>
      <c r="C95" s="38">
        <f>IFERROR(__xludf.DUMMYFUNCTION("""COMPUTED_VALUE"""),10.220967)</f>
        <v>10.220967</v>
      </c>
      <c r="D95" s="4" t="str">
        <f>IFERROR(__xludf.DUMMYFUNCTION("""COMPUTED_VALUE"""),"Kawthoung")</f>
        <v>Kawthoung</v>
      </c>
      <c r="E95" s="10">
        <f>IFERROR(__xludf.DUMMYFUNCTION("""COMPUTED_VALUE"""),43387.0)</f>
        <v>43387</v>
      </c>
    </row>
    <row r="96">
      <c r="A96" s="4" t="str">
        <f>IFERROR(__xludf.DUMMYFUNCTION("""COMPUTED_VALUE"""),"TNI0122")</f>
        <v>TNI0122</v>
      </c>
      <c r="B96" s="38">
        <f>IFERROR(__xludf.DUMMYFUNCTION("""COMPUTED_VALUE"""),98.63154)</f>
        <v>98.63154</v>
      </c>
      <c r="C96" s="38">
        <f>IFERROR(__xludf.DUMMYFUNCTION("""COMPUTED_VALUE"""),13.11497)</f>
        <v>13.11497</v>
      </c>
      <c r="D96" s="4" t="str">
        <f>IFERROR(__xludf.DUMMYFUNCTION("""COMPUTED_VALUE"""),"Palaw")</f>
        <v>Palaw</v>
      </c>
      <c r="E96" s="10">
        <f>IFERROR(__xludf.DUMMYFUNCTION("""COMPUTED_VALUE"""),43509.0)</f>
        <v>43509</v>
      </c>
    </row>
    <row r="97">
      <c r="A97" s="4" t="str">
        <f>IFERROR(__xludf.DUMMYFUNCTION("""COMPUTED_VALUE"""),"TNI0123")</f>
        <v>TNI0123</v>
      </c>
      <c r="B97" s="38">
        <f>IFERROR(__xludf.DUMMYFUNCTION("""COMPUTED_VALUE"""),98.556256)</f>
        <v>98.556256</v>
      </c>
      <c r="C97" s="38">
        <f>IFERROR(__xludf.DUMMYFUNCTION("""COMPUTED_VALUE"""),10.557563)</f>
        <v>10.557563</v>
      </c>
      <c r="D97" s="4" t="str">
        <f>IFERROR(__xludf.DUMMYFUNCTION("""COMPUTED_VALUE"""),"Kawthoung")</f>
        <v>Kawthoung</v>
      </c>
      <c r="E97" s="4">
        <f>IFERROR(__xludf.DUMMYFUNCTION("""COMPUTED_VALUE"""),43717.0)</f>
        <v>43717</v>
      </c>
    </row>
    <row r="98">
      <c r="A98" s="4" t="str">
        <f>IFERROR(__xludf.DUMMYFUNCTION("""COMPUTED_VALUE"""),"TNI0124")</f>
        <v>TNI0124</v>
      </c>
      <c r="B98" s="38">
        <f>IFERROR(__xludf.DUMMYFUNCTION("""COMPUTED_VALUE"""),98.71077)</f>
        <v>98.71077</v>
      </c>
      <c r="C98" s="38">
        <f>IFERROR(__xludf.DUMMYFUNCTION("""COMPUTED_VALUE"""),10.84637)</f>
        <v>10.84637</v>
      </c>
      <c r="D98" s="4" t="str">
        <f>IFERROR(__xludf.DUMMYFUNCTION("""COMPUTED_VALUE"""),"Bokpyin")</f>
        <v>Bokpyin</v>
      </c>
      <c r="E98" s="10">
        <f>IFERROR(__xludf.DUMMYFUNCTION("""COMPUTED_VALUE"""),43614.0)</f>
        <v>43614</v>
      </c>
    </row>
    <row r="99">
      <c r="A99" s="4" t="str">
        <f>IFERROR(__xludf.DUMMYFUNCTION("""COMPUTED_VALUE"""),"TNI0127")</f>
        <v>TNI0127</v>
      </c>
      <c r="B99" s="38">
        <f>IFERROR(__xludf.DUMMYFUNCTION("""COMPUTED_VALUE"""),98.63336)</f>
        <v>98.63336</v>
      </c>
      <c r="C99" s="38">
        <f>IFERROR(__xludf.DUMMYFUNCTION("""COMPUTED_VALUE"""),13.23437)</f>
        <v>13.23437</v>
      </c>
      <c r="D99" s="4" t="str">
        <f>IFERROR(__xludf.DUMMYFUNCTION("""COMPUTED_VALUE"""),"Palaw")</f>
        <v>Palaw</v>
      </c>
      <c r="E99" s="10">
        <f>IFERROR(__xludf.DUMMYFUNCTION("""COMPUTED_VALUE"""),43730.0)</f>
        <v>43730</v>
      </c>
    </row>
    <row r="100">
      <c r="A100" s="4" t="str">
        <f>IFERROR(__xludf.DUMMYFUNCTION("""COMPUTED_VALUE"""),"TNI0115")</f>
        <v>TNI0115</v>
      </c>
      <c r="B100" s="38">
        <f>IFERROR(__xludf.DUMMYFUNCTION("""COMPUTED_VALUE"""),98.27464)</f>
        <v>98.27464</v>
      </c>
      <c r="C100" s="38">
        <f>IFERROR(__xludf.DUMMYFUNCTION("""COMPUTED_VALUE"""),14.0224)</f>
        <v>14.0224</v>
      </c>
      <c r="D100" s="4" t="str">
        <f>IFERROR(__xludf.DUMMYFUNCTION("""COMPUTED_VALUE"""),"Dawei")</f>
        <v>Dawei</v>
      </c>
      <c r="E100" s="4">
        <f>IFERROR(__xludf.DUMMYFUNCTION("""COMPUTED_VALUE"""),45354.45027)</f>
        <v>45354.45027</v>
      </c>
    </row>
    <row r="101">
      <c r="A101" s="4" t="str">
        <f>IFERROR(__xludf.DUMMYFUNCTION("""COMPUTED_VALUE"""),"TNI0136")</f>
        <v>TNI0136</v>
      </c>
      <c r="B101" s="38">
        <f>IFERROR(__xludf.DUMMYFUNCTION("""COMPUTED_VALUE"""),98.78528)</f>
        <v>98.78528</v>
      </c>
      <c r="C101" s="38">
        <f>IFERROR(__xludf.DUMMYFUNCTION("""COMPUTED_VALUE"""),11.24336)</f>
        <v>11.24336</v>
      </c>
      <c r="D101" s="4" t="str">
        <f>IFERROR(__xludf.DUMMYFUNCTION("""COMPUTED_VALUE"""),"Bokpyin")</f>
        <v>Bokpyin</v>
      </c>
      <c r="E101" s="4">
        <f>IFERROR(__xludf.DUMMYFUNCTION("""COMPUTED_VALUE"""),43163.0)</f>
        <v>43163</v>
      </c>
    </row>
    <row r="102">
      <c r="A102" s="4" t="str">
        <f>IFERROR(__xludf.DUMMYFUNCTION("""COMPUTED_VALUE"""),"TNI0137")</f>
        <v>TNI0137</v>
      </c>
      <c r="B102" s="38">
        <f>IFERROR(__xludf.DUMMYFUNCTION("""COMPUTED_VALUE"""),98.432657)</f>
        <v>98.432657</v>
      </c>
      <c r="C102" s="38">
        <f>IFERROR(__xludf.DUMMYFUNCTION("""COMPUTED_VALUE"""),12.087802)</f>
        <v>12.087802</v>
      </c>
      <c r="D102" s="4" t="str">
        <f>IFERROR(__xludf.DUMMYFUNCTION("""COMPUTED_VALUE"""),"Kyunsu")</f>
        <v>Kyunsu</v>
      </c>
      <c r="E102" s="4">
        <f>IFERROR(__xludf.DUMMYFUNCTION("""COMPUTED_VALUE"""),44175.0)</f>
        <v>44175</v>
      </c>
    </row>
    <row r="103">
      <c r="A103" s="4" t="str">
        <f>IFERROR(__xludf.DUMMYFUNCTION("""COMPUTED_VALUE"""),"TNI0129")</f>
        <v>TNI0129</v>
      </c>
      <c r="B103" s="38">
        <f>IFERROR(__xludf.DUMMYFUNCTION("""COMPUTED_VALUE"""),98.168925)</f>
        <v>98.168925</v>
      </c>
      <c r="C103" s="38">
        <f>IFERROR(__xludf.DUMMYFUNCTION("""COMPUTED_VALUE"""),14.616438)</f>
        <v>14.616438</v>
      </c>
      <c r="D103" s="4" t="str">
        <f>IFERROR(__xludf.DUMMYFUNCTION("""COMPUTED_VALUE"""),"Yebyu")</f>
        <v>Yebyu</v>
      </c>
      <c r="E103" s="10">
        <f>IFERROR(__xludf.DUMMYFUNCTION("""COMPUTED_VALUE"""),43276.0)</f>
        <v>43276</v>
      </c>
    </row>
    <row r="104">
      <c r="A104" s="4" t="str">
        <f>IFERROR(__xludf.DUMMYFUNCTION("""COMPUTED_VALUE"""),"TNI0144")</f>
        <v>TNI0144</v>
      </c>
      <c r="B104" s="38">
        <f>IFERROR(__xludf.DUMMYFUNCTION("""COMPUTED_VALUE"""),98.25861)</f>
        <v>98.25861</v>
      </c>
      <c r="C104" s="38">
        <f>IFERROR(__xludf.DUMMYFUNCTION("""COMPUTED_VALUE"""),14.0694)</f>
        <v>14.0694</v>
      </c>
      <c r="D104" s="4" t="str">
        <f>IFERROR(__xludf.DUMMYFUNCTION("""COMPUTED_VALUE"""),"Dawei")</f>
        <v>Dawei</v>
      </c>
      <c r="E104" s="10">
        <f>IFERROR(__xludf.DUMMYFUNCTION("""COMPUTED_VALUE"""),43187.0)</f>
        <v>43187</v>
      </c>
    </row>
    <row r="105">
      <c r="A105" s="4" t="str">
        <f>IFERROR(__xludf.DUMMYFUNCTION("""COMPUTED_VALUE"""),"TNI0146")</f>
        <v>TNI0146</v>
      </c>
      <c r="B105" s="38">
        <f>IFERROR(__xludf.DUMMYFUNCTION("""COMPUTED_VALUE"""),98.14771)</f>
        <v>98.14771</v>
      </c>
      <c r="C105" s="38">
        <f>IFERROR(__xludf.DUMMYFUNCTION("""COMPUTED_VALUE"""),14.26423)</f>
        <v>14.26423</v>
      </c>
      <c r="D105" s="4" t="str">
        <f>IFERROR(__xludf.DUMMYFUNCTION("""COMPUTED_VALUE"""),"Yebyu")</f>
        <v>Yebyu</v>
      </c>
      <c r="E105" s="4">
        <f>IFERROR(__xludf.DUMMYFUNCTION("""COMPUTED_VALUE"""),43223.0)</f>
        <v>43223</v>
      </c>
    </row>
    <row r="106">
      <c r="A106" s="4" t="str">
        <f>IFERROR(__xludf.DUMMYFUNCTION("""COMPUTED_VALUE"""),"TNI0147")</f>
        <v>TNI0147</v>
      </c>
      <c r="B106" s="38">
        <f>IFERROR(__xludf.DUMMYFUNCTION("""COMPUTED_VALUE"""),98.05625)</f>
        <v>98.05625</v>
      </c>
      <c r="C106" s="38">
        <f>IFERROR(__xludf.DUMMYFUNCTION("""COMPUTED_VALUE"""),14.2931)</f>
        <v>14.2931</v>
      </c>
      <c r="D106" s="4" t="str">
        <f>IFERROR(__xludf.DUMMYFUNCTION("""COMPUTED_VALUE"""),"Yebyu")</f>
        <v>Yebyu</v>
      </c>
      <c r="E106" s="10">
        <f>IFERROR(__xludf.DUMMYFUNCTION("""COMPUTED_VALUE"""),43297.0)</f>
        <v>43297</v>
      </c>
    </row>
    <row r="107">
      <c r="A107" s="4" t="str">
        <f>IFERROR(__xludf.DUMMYFUNCTION("""COMPUTED_VALUE"""),"TNI0148")</f>
        <v>TNI0148</v>
      </c>
      <c r="B107" s="38">
        <f>IFERROR(__xludf.DUMMYFUNCTION("""COMPUTED_VALUE"""),97.99185)</f>
        <v>97.99185</v>
      </c>
      <c r="C107" s="38">
        <f>IFERROR(__xludf.DUMMYFUNCTION("""COMPUTED_VALUE"""),14.51187)</f>
        <v>14.51187</v>
      </c>
      <c r="D107" s="4" t="str">
        <f>IFERROR(__xludf.DUMMYFUNCTION("""COMPUTED_VALUE"""),"Yebyu")</f>
        <v>Yebyu</v>
      </c>
      <c r="E107" s="10">
        <f>IFERROR(__xludf.DUMMYFUNCTION("""COMPUTED_VALUE"""),43297.0)</f>
        <v>43297</v>
      </c>
    </row>
    <row r="108">
      <c r="A108" s="4" t="str">
        <f>IFERROR(__xludf.DUMMYFUNCTION("""COMPUTED_VALUE"""),"TNI0148_01")</f>
        <v>TNI0148_01</v>
      </c>
      <c r="B108" s="38">
        <f>IFERROR(__xludf.DUMMYFUNCTION("""COMPUTED_VALUE"""),97.959316)</f>
        <v>97.959316</v>
      </c>
      <c r="C108" s="38">
        <f>IFERROR(__xludf.DUMMYFUNCTION("""COMPUTED_VALUE"""),14.489891)</f>
        <v>14.489891</v>
      </c>
      <c r="D108" s="4" t="str">
        <f>IFERROR(__xludf.DUMMYFUNCTION("""COMPUTED_VALUE"""),"Yebyu")</f>
        <v>Yebyu</v>
      </c>
      <c r="E108" s="4">
        <f>IFERROR(__xludf.DUMMYFUNCTION("""COMPUTED_VALUE"""),44205.0)</f>
        <v>44205</v>
      </c>
    </row>
    <row r="109">
      <c r="A109" s="4" t="str">
        <f>IFERROR(__xludf.DUMMYFUNCTION("""COMPUTED_VALUE"""),"TNI0149")</f>
        <v>TNI0149</v>
      </c>
      <c r="B109" s="38">
        <f>IFERROR(__xludf.DUMMYFUNCTION("""COMPUTED_VALUE"""),97.913003)</f>
        <v>97.913003</v>
      </c>
      <c r="C109" s="38">
        <f>IFERROR(__xludf.DUMMYFUNCTION("""COMPUTED_VALUE"""),14.767258)</f>
        <v>14.767258</v>
      </c>
      <c r="D109" s="4" t="str">
        <f>IFERROR(__xludf.DUMMYFUNCTION("""COMPUTED_VALUE"""),"Yebyu")</f>
        <v>Yebyu</v>
      </c>
      <c r="E109" s="4">
        <f>IFERROR(__xludf.DUMMYFUNCTION("""COMPUTED_VALUE"""),43349.0)</f>
        <v>43349</v>
      </c>
    </row>
    <row r="110">
      <c r="A110" s="4" t="str">
        <f>IFERROR(__xludf.DUMMYFUNCTION("""COMPUTED_VALUE"""),"TNI0150")</f>
        <v>TNI0150</v>
      </c>
      <c r="B110" s="38">
        <f>IFERROR(__xludf.DUMMYFUNCTION("""COMPUTED_VALUE"""),97.9242)</f>
        <v>97.9242</v>
      </c>
      <c r="C110" s="38">
        <f>IFERROR(__xludf.DUMMYFUNCTION("""COMPUTED_VALUE"""),14.566152)</f>
        <v>14.566152</v>
      </c>
      <c r="D110" s="4" t="str">
        <f>IFERROR(__xludf.DUMMYFUNCTION("""COMPUTED_VALUE"""),"Yebyu")</f>
        <v>Yebyu</v>
      </c>
      <c r="E110" s="10">
        <f>IFERROR(__xludf.DUMMYFUNCTION("""COMPUTED_VALUE"""),43300.0)</f>
        <v>43300</v>
      </c>
    </row>
    <row r="111">
      <c r="A111" s="4" t="str">
        <f>IFERROR(__xludf.DUMMYFUNCTION("""COMPUTED_VALUE"""),"TNI0153")</f>
        <v>TNI0153</v>
      </c>
      <c r="B111" s="38">
        <f>IFERROR(__xludf.DUMMYFUNCTION("""COMPUTED_VALUE"""),97.94806)</f>
        <v>97.94806</v>
      </c>
      <c r="C111" s="38">
        <f>IFERROR(__xludf.DUMMYFUNCTION("""COMPUTED_VALUE"""),14.63445)</f>
        <v>14.63445</v>
      </c>
      <c r="D111" s="4" t="str">
        <f>IFERROR(__xludf.DUMMYFUNCTION("""COMPUTED_VALUE"""),"Yebyu")</f>
        <v>Yebyu</v>
      </c>
      <c r="E111" s="10">
        <f>IFERROR(__xludf.DUMMYFUNCTION("""COMPUTED_VALUE"""),43337.0)</f>
        <v>43337</v>
      </c>
    </row>
    <row r="112">
      <c r="A112" s="4" t="str">
        <f>IFERROR(__xludf.DUMMYFUNCTION("""COMPUTED_VALUE"""),"TNI0153_01")</f>
        <v>TNI0153_01</v>
      </c>
      <c r="B112" s="38">
        <f>IFERROR(__xludf.DUMMYFUNCTION("""COMPUTED_VALUE"""),97.932646)</f>
        <v>97.932646</v>
      </c>
      <c r="C112" s="38">
        <f>IFERROR(__xludf.DUMMYFUNCTION("""COMPUTED_VALUE"""),14.601349)</f>
        <v>14.601349</v>
      </c>
      <c r="D112" s="4" t="str">
        <f>IFERROR(__xludf.DUMMYFUNCTION("""COMPUTED_VALUE"""),"Yebyu")</f>
        <v>Yebyu</v>
      </c>
      <c r="E112" s="10">
        <f>IFERROR(__xludf.DUMMYFUNCTION("""COMPUTED_VALUE"""),44408.0)</f>
        <v>44408</v>
      </c>
    </row>
    <row r="113">
      <c r="A113" s="4" t="str">
        <f>IFERROR(__xludf.DUMMYFUNCTION("""COMPUTED_VALUE"""),"TNI0154")</f>
        <v>TNI0154</v>
      </c>
      <c r="B113" s="38">
        <f>IFERROR(__xludf.DUMMYFUNCTION("""COMPUTED_VALUE"""),98.533708)</f>
        <v>98.533708</v>
      </c>
      <c r="C113" s="38">
        <f>IFERROR(__xludf.DUMMYFUNCTION("""COMPUTED_VALUE"""),10.066048)</f>
        <v>10.066048</v>
      </c>
      <c r="D113" s="4" t="str">
        <f>IFERROR(__xludf.DUMMYFUNCTION("""COMPUTED_VALUE"""),"Kawthoung")</f>
        <v>Kawthoung</v>
      </c>
      <c r="E113" s="4">
        <f>IFERROR(__xludf.DUMMYFUNCTION("""COMPUTED_VALUE"""),43800.0)</f>
        <v>43800</v>
      </c>
    </row>
    <row r="114">
      <c r="A114" s="4" t="str">
        <f>IFERROR(__xludf.DUMMYFUNCTION("""COMPUTED_VALUE"""),"TNI0156")</f>
        <v>TNI0156</v>
      </c>
      <c r="B114" s="38">
        <f>IFERROR(__xludf.DUMMYFUNCTION("""COMPUTED_VALUE"""),99.11282)</f>
        <v>99.11282</v>
      </c>
      <c r="C114" s="38">
        <f>IFERROR(__xludf.DUMMYFUNCTION("""COMPUTED_VALUE"""),12.04041)</f>
        <v>12.04041</v>
      </c>
      <c r="D114" s="4" t="str">
        <f>IFERROR(__xludf.DUMMYFUNCTION("""COMPUTED_VALUE"""),"Tanintharyi")</f>
        <v>Tanintharyi</v>
      </c>
      <c r="E114" s="10">
        <f>IFERROR(__xludf.DUMMYFUNCTION("""COMPUTED_VALUE"""),43208.0)</f>
        <v>43208</v>
      </c>
    </row>
    <row r="115">
      <c r="A115" s="4" t="str">
        <f>IFERROR(__xludf.DUMMYFUNCTION("""COMPUTED_VALUE"""),"TNI0159")</f>
        <v>TNI0159</v>
      </c>
      <c r="B115" s="38">
        <f>IFERROR(__xludf.DUMMYFUNCTION("""COMPUTED_VALUE"""),98.65432)</f>
        <v>98.65432</v>
      </c>
      <c r="C115" s="38">
        <f>IFERROR(__xludf.DUMMYFUNCTION("""COMPUTED_VALUE"""),12.96759)</f>
        <v>12.96759</v>
      </c>
      <c r="D115" s="4" t="str">
        <f>IFERROR(__xludf.DUMMYFUNCTION("""COMPUTED_VALUE"""),"Palaw")</f>
        <v>Palaw</v>
      </c>
      <c r="E115" s="10">
        <f>IFERROR(__xludf.DUMMYFUNCTION("""COMPUTED_VALUE"""),43189.0)</f>
        <v>43189</v>
      </c>
    </row>
    <row r="116">
      <c r="A116" s="4" t="str">
        <f>IFERROR(__xludf.DUMMYFUNCTION("""COMPUTED_VALUE"""),"TNI0161")</f>
        <v>TNI0161</v>
      </c>
      <c r="B116" s="38">
        <f>IFERROR(__xludf.DUMMYFUNCTION("""COMPUTED_VALUE"""),98.70989)</f>
        <v>98.70989</v>
      </c>
      <c r="C116" s="38">
        <f>IFERROR(__xludf.DUMMYFUNCTION("""COMPUTED_VALUE"""),12.57718)</f>
        <v>12.57718</v>
      </c>
      <c r="D116" s="4" t="str">
        <f>IFERROR(__xludf.DUMMYFUNCTION("""COMPUTED_VALUE"""),"Myeik")</f>
        <v>Myeik</v>
      </c>
      <c r="E116" s="4">
        <f>IFERROR(__xludf.DUMMYFUNCTION("""COMPUTED_VALUE"""),43195.0)</f>
        <v>43195</v>
      </c>
    </row>
    <row r="117">
      <c r="A117" s="4" t="str">
        <f>IFERROR(__xludf.DUMMYFUNCTION("""COMPUTED_VALUE"""),"TNI0163")</f>
        <v>TNI0163</v>
      </c>
      <c r="B117" s="38">
        <f>IFERROR(__xludf.DUMMYFUNCTION("""COMPUTED_VALUE"""),98.62782)</f>
        <v>98.62782</v>
      </c>
      <c r="C117" s="38">
        <f>IFERROR(__xludf.DUMMYFUNCTION("""COMPUTED_VALUE"""),12.90549)</f>
        <v>12.90549</v>
      </c>
      <c r="D117" s="4" t="str">
        <f>IFERROR(__xludf.DUMMYFUNCTION("""COMPUTED_VALUE"""),"Palaw")</f>
        <v>Palaw</v>
      </c>
      <c r="E117" s="4">
        <f>IFERROR(__xludf.DUMMYFUNCTION("""COMPUTED_VALUE"""),45189.45196)</f>
        <v>45189.45196</v>
      </c>
    </row>
    <row r="118">
      <c r="A118" s="4" t="str">
        <f>IFERROR(__xludf.DUMMYFUNCTION("""COMPUTED_VALUE"""),"TNI0164")</f>
        <v>TNI0164</v>
      </c>
      <c r="B118" s="38">
        <f>IFERROR(__xludf.DUMMYFUNCTION("""COMPUTED_VALUE"""),98.6339)</f>
        <v>98.6339</v>
      </c>
      <c r="C118" s="38">
        <f>IFERROR(__xludf.DUMMYFUNCTION("""COMPUTED_VALUE"""),13.19507)</f>
        <v>13.19507</v>
      </c>
      <c r="D118" s="4" t="str">
        <f>IFERROR(__xludf.DUMMYFUNCTION("""COMPUTED_VALUE"""),"Palaw")</f>
        <v>Palaw</v>
      </c>
      <c r="E118" s="4">
        <f>IFERROR(__xludf.DUMMYFUNCTION("""COMPUTED_VALUE"""),43164.0)</f>
        <v>43164</v>
      </c>
    </row>
    <row r="119">
      <c r="A119" s="4" t="str">
        <f>IFERROR(__xludf.DUMMYFUNCTION("""COMPUTED_VALUE"""),"TNI0165")</f>
        <v>TNI0165</v>
      </c>
      <c r="B119" s="38">
        <f>IFERROR(__xludf.DUMMYFUNCTION("""COMPUTED_VALUE"""),98.69613)</f>
        <v>98.69613</v>
      </c>
      <c r="C119" s="38">
        <f>IFERROR(__xludf.DUMMYFUNCTION("""COMPUTED_VALUE"""),12.82995)</f>
        <v>12.82995</v>
      </c>
      <c r="D119" s="4" t="str">
        <f>IFERROR(__xludf.DUMMYFUNCTION("""COMPUTED_VALUE"""),"Palaw")</f>
        <v>Palaw</v>
      </c>
      <c r="E119" s="10">
        <f>IFERROR(__xludf.DUMMYFUNCTION("""COMPUTED_VALUE"""),43328.0)</f>
        <v>43328</v>
      </c>
    </row>
    <row r="120">
      <c r="A120" s="4" t="str">
        <f>IFERROR(__xludf.DUMMYFUNCTION("""COMPUTED_VALUE"""),"TNI0166")</f>
        <v>TNI0166</v>
      </c>
      <c r="B120" s="38">
        <f>IFERROR(__xludf.DUMMYFUNCTION("""COMPUTED_VALUE"""),98.72535)</f>
        <v>98.72535</v>
      </c>
      <c r="C120" s="38">
        <f>IFERROR(__xludf.DUMMYFUNCTION("""COMPUTED_VALUE"""),12.71635)</f>
        <v>12.71635</v>
      </c>
      <c r="D120" s="4" t="str">
        <f>IFERROR(__xludf.DUMMYFUNCTION("""COMPUTED_VALUE"""),"Palaw")</f>
        <v>Palaw</v>
      </c>
      <c r="E120" s="10">
        <f>IFERROR(__xludf.DUMMYFUNCTION("""COMPUTED_VALUE"""),43243.0)</f>
        <v>43243</v>
      </c>
    </row>
    <row r="121">
      <c r="A121" s="4" t="str">
        <f>IFERROR(__xludf.DUMMYFUNCTION("""COMPUTED_VALUE"""),"TNI0167")</f>
        <v>TNI0167</v>
      </c>
      <c r="B121" s="38">
        <f>IFERROR(__xludf.DUMMYFUNCTION("""COMPUTED_VALUE"""),98.86561)</f>
        <v>98.86561</v>
      </c>
      <c r="C121" s="38">
        <f>IFERROR(__xludf.DUMMYFUNCTION("""COMPUTED_VALUE"""),12.2823)</f>
        <v>12.2823</v>
      </c>
      <c r="D121" s="4" t="str">
        <f>IFERROR(__xludf.DUMMYFUNCTION("""COMPUTED_VALUE"""),"Myeik")</f>
        <v>Myeik</v>
      </c>
      <c r="E121" s="10">
        <f>IFERROR(__xludf.DUMMYFUNCTION("""COMPUTED_VALUE"""),43298.0)</f>
        <v>43298</v>
      </c>
    </row>
    <row r="122">
      <c r="A122" s="4" t="str">
        <f>IFERROR(__xludf.DUMMYFUNCTION("""COMPUTED_VALUE"""),"TNI0169")</f>
        <v>TNI0169</v>
      </c>
      <c r="B122" s="38">
        <f>IFERROR(__xludf.DUMMYFUNCTION("""COMPUTED_VALUE"""),98.93913)</f>
        <v>98.93913</v>
      </c>
      <c r="C122" s="38">
        <f>IFERROR(__xludf.DUMMYFUNCTION("""COMPUTED_VALUE"""),12.17056)</f>
        <v>12.17056</v>
      </c>
      <c r="D122" s="4" t="str">
        <f>IFERROR(__xludf.DUMMYFUNCTION("""COMPUTED_VALUE"""),"Tanintharyi")</f>
        <v>Tanintharyi</v>
      </c>
      <c r="E122" s="4">
        <f>IFERROR(__xludf.DUMMYFUNCTION("""COMPUTED_VALUE"""),45357.66058)</f>
        <v>45357.66058</v>
      </c>
    </row>
    <row r="123">
      <c r="A123" s="4" t="str">
        <f>IFERROR(__xludf.DUMMYFUNCTION("""COMPUTED_VALUE"""),"TNI0153_02")</f>
        <v>TNI0153_02</v>
      </c>
      <c r="B123" s="38">
        <f>IFERROR(__xludf.DUMMYFUNCTION("""COMPUTED_VALUE"""),97.911779)</f>
        <v>97.911779</v>
      </c>
      <c r="C123" s="38">
        <f>IFERROR(__xludf.DUMMYFUNCTION("""COMPUTED_VALUE"""),14.641661)</f>
        <v>14.641661</v>
      </c>
      <c r="D123" s="4" t="str">
        <f>IFERROR(__xludf.DUMMYFUNCTION("""COMPUTED_VALUE"""),"Yebyu")</f>
        <v>Yebyu</v>
      </c>
      <c r="E123" s="10">
        <f>IFERROR(__xludf.DUMMYFUNCTION("""COMPUTED_VALUE"""),44669.0)</f>
        <v>44669</v>
      </c>
    </row>
    <row r="124">
      <c r="A124" s="4" t="str">
        <f>IFERROR(__xludf.DUMMYFUNCTION("""COMPUTED_VALUE"""),"TNI0173")</f>
        <v>TNI0173</v>
      </c>
      <c r="B124" s="38">
        <f>IFERROR(__xludf.DUMMYFUNCTION("""COMPUTED_VALUE"""),99.00724)</f>
        <v>99.00724</v>
      </c>
      <c r="C124" s="38">
        <f>IFERROR(__xludf.DUMMYFUNCTION("""COMPUTED_VALUE"""),12.07956)</f>
        <v>12.07956</v>
      </c>
      <c r="D124" s="4" t="str">
        <f>IFERROR(__xludf.DUMMYFUNCTION("""COMPUTED_VALUE"""),"Tanintharyi")</f>
        <v>Tanintharyi</v>
      </c>
      <c r="E124" s="10">
        <f>IFERROR(__xludf.DUMMYFUNCTION("""COMPUTED_VALUE"""),43273.0)</f>
        <v>43273</v>
      </c>
    </row>
    <row r="125">
      <c r="A125" s="4" t="str">
        <f>IFERROR(__xludf.DUMMYFUNCTION("""COMPUTED_VALUE"""),"TNI0170")</f>
        <v>TNI0170</v>
      </c>
      <c r="B125" s="38">
        <f>IFERROR(__xludf.DUMMYFUNCTION("""COMPUTED_VALUE"""),98.10152)</f>
        <v>98.10152</v>
      </c>
      <c r="C125" s="38">
        <f>IFERROR(__xludf.DUMMYFUNCTION("""COMPUTED_VALUE"""),14.14574)</f>
        <v>14.14574</v>
      </c>
      <c r="D125" s="4" t="str">
        <f>IFERROR(__xludf.DUMMYFUNCTION("""COMPUTED_VALUE"""),"Launglon")</f>
        <v>Launglon</v>
      </c>
      <c r="E125" s="10">
        <f>IFERROR(__xludf.DUMMYFUNCTION("""COMPUTED_VALUE"""),43296.0)</f>
        <v>43296</v>
      </c>
    </row>
    <row r="126">
      <c r="A126" s="4" t="str">
        <f>IFERROR(__xludf.DUMMYFUNCTION("""COMPUTED_VALUE"""),"TNI0185")</f>
        <v>TNI0185</v>
      </c>
      <c r="B126" s="38">
        <f>IFERROR(__xludf.DUMMYFUNCTION("""COMPUTED_VALUE"""),97.91765)</f>
        <v>97.91765</v>
      </c>
      <c r="C126" s="38">
        <f>IFERROR(__xludf.DUMMYFUNCTION("""COMPUTED_VALUE"""),15.01977)</f>
        <v>15.01977</v>
      </c>
      <c r="D126" s="4" t="str">
        <f>IFERROR(__xludf.DUMMYFUNCTION("""COMPUTED_VALUE"""),"Yebyu")</f>
        <v>Yebyu</v>
      </c>
      <c r="E126" s="41">
        <f>IFERROR(__xludf.DUMMYFUNCTION("""COMPUTED_VALUE"""),45399.0)</f>
        <v>45399</v>
      </c>
    </row>
    <row r="127">
      <c r="A127" s="4" t="str">
        <f>IFERROR(__xludf.DUMMYFUNCTION("""COMPUTED_VALUE"""),"TNI0187")</f>
        <v>TNI0187</v>
      </c>
      <c r="B127" s="38">
        <f>IFERROR(__xludf.DUMMYFUNCTION("""COMPUTED_VALUE"""),98.14784)</f>
        <v>98.14784</v>
      </c>
      <c r="C127" s="38">
        <f>IFERROR(__xludf.DUMMYFUNCTION("""COMPUTED_VALUE"""),13.74787)</f>
        <v>13.74787</v>
      </c>
      <c r="D127" s="4" t="str">
        <f>IFERROR(__xludf.DUMMYFUNCTION("""COMPUTED_VALUE"""),"Launglon")</f>
        <v>Launglon</v>
      </c>
      <c r="E127" s="10">
        <f>IFERROR(__xludf.DUMMYFUNCTION("""COMPUTED_VALUE"""),43236.0)</f>
        <v>43236</v>
      </c>
    </row>
    <row r="128">
      <c r="A128" s="4" t="str">
        <f>IFERROR(__xludf.DUMMYFUNCTION("""COMPUTED_VALUE"""),"TNI0188")</f>
        <v>TNI0188</v>
      </c>
      <c r="B128" s="38">
        <f>IFERROR(__xludf.DUMMYFUNCTION("""COMPUTED_VALUE"""),97.99576)</f>
        <v>97.99576</v>
      </c>
      <c r="C128" s="38">
        <f>IFERROR(__xludf.DUMMYFUNCTION("""COMPUTED_VALUE"""),15.02735)</f>
        <v>15.02735</v>
      </c>
      <c r="D128" s="4" t="str">
        <f>IFERROR(__xludf.DUMMYFUNCTION("""COMPUTED_VALUE"""),"Yebyu")</f>
        <v>Yebyu</v>
      </c>
      <c r="E128" s="41">
        <f>IFERROR(__xludf.DUMMYFUNCTION("""COMPUTED_VALUE"""),45396.04019675926)</f>
        <v>45396.0402</v>
      </c>
    </row>
    <row r="129">
      <c r="A129" s="4" t="str">
        <f>IFERROR(__xludf.DUMMYFUNCTION("""COMPUTED_VALUE"""),"TNI0196")</f>
        <v>TNI0196</v>
      </c>
      <c r="B129" s="38">
        <f>IFERROR(__xludf.DUMMYFUNCTION("""COMPUTED_VALUE"""),98.75836)</f>
        <v>98.75836</v>
      </c>
      <c r="C129" s="38">
        <f>IFERROR(__xludf.DUMMYFUNCTION("""COMPUTED_VALUE"""),11.26428)</f>
        <v>11.26428</v>
      </c>
      <c r="D129" s="4" t="str">
        <f>IFERROR(__xludf.DUMMYFUNCTION("""COMPUTED_VALUE"""),"Bokpyin")</f>
        <v>Bokpyin</v>
      </c>
      <c r="E129" s="10">
        <f>IFERROR(__xludf.DUMMYFUNCTION("""COMPUTED_VALUE"""),43234.0)</f>
        <v>43234</v>
      </c>
    </row>
    <row r="130">
      <c r="A130" s="4" t="str">
        <f>IFERROR(__xludf.DUMMYFUNCTION("""COMPUTED_VALUE"""),"TNI0189")</f>
        <v>TNI0189</v>
      </c>
      <c r="B130" s="38">
        <f>IFERROR(__xludf.DUMMYFUNCTION("""COMPUTED_VALUE"""),98.18226)</f>
        <v>98.18226</v>
      </c>
      <c r="C130" s="38">
        <f>IFERROR(__xludf.DUMMYFUNCTION("""COMPUTED_VALUE"""),14.47646)</f>
        <v>14.47646</v>
      </c>
      <c r="D130" s="4" t="str">
        <f>IFERROR(__xludf.DUMMYFUNCTION("""COMPUTED_VALUE"""),"Yebyu")</f>
        <v>Yebyu</v>
      </c>
      <c r="E130" s="10">
        <f>IFERROR(__xludf.DUMMYFUNCTION("""COMPUTED_VALUE"""),43214.0)</f>
        <v>43214</v>
      </c>
    </row>
    <row r="131">
      <c r="A131" s="4" t="str">
        <f>IFERROR(__xludf.DUMMYFUNCTION("""COMPUTED_VALUE"""),"TNI0194")</f>
        <v>TNI0194</v>
      </c>
      <c r="B131" s="38">
        <f>IFERROR(__xludf.DUMMYFUNCTION("""COMPUTED_VALUE"""),98.37742)</f>
        <v>98.37742</v>
      </c>
      <c r="C131" s="38">
        <f>IFERROR(__xludf.DUMMYFUNCTION("""COMPUTED_VALUE"""),13.6784)</f>
        <v>13.6784</v>
      </c>
      <c r="D131" s="4" t="str">
        <f>IFERROR(__xludf.DUMMYFUNCTION("""COMPUTED_VALUE"""),"Thayetchaung")</f>
        <v>Thayetchaung</v>
      </c>
      <c r="E131" s="10">
        <f>IFERROR(__xludf.DUMMYFUNCTION("""COMPUTED_VALUE"""),43180.0)</f>
        <v>43180</v>
      </c>
    </row>
    <row r="132">
      <c r="A132" s="4" t="str">
        <f>IFERROR(__xludf.DUMMYFUNCTION("""COMPUTED_VALUE"""),"TNI0199")</f>
        <v>TNI0199</v>
      </c>
      <c r="B132" s="38">
        <f>IFERROR(__xludf.DUMMYFUNCTION("""COMPUTED_VALUE"""),98.5302)</f>
        <v>98.5302</v>
      </c>
      <c r="C132" s="38">
        <f>IFERROR(__xludf.DUMMYFUNCTION("""COMPUTED_VALUE"""),13.276355)</f>
        <v>13.276355</v>
      </c>
      <c r="D132" s="4" t="str">
        <f>IFERROR(__xludf.DUMMYFUNCTION("""COMPUTED_VALUE"""),"Palaw")</f>
        <v>Palaw</v>
      </c>
      <c r="E132" s="10">
        <f>IFERROR(__xludf.DUMMYFUNCTION("""COMPUTED_VALUE"""),43422.0)</f>
        <v>43422</v>
      </c>
    </row>
    <row r="133">
      <c r="A133" s="4" t="str">
        <f>IFERROR(__xludf.DUMMYFUNCTION("""COMPUTED_VALUE"""),"TNI0200")</f>
        <v>TNI0200</v>
      </c>
      <c r="B133" s="38">
        <f>IFERROR(__xludf.DUMMYFUNCTION("""COMPUTED_VALUE"""),98.68253)</f>
        <v>98.68253</v>
      </c>
      <c r="C133" s="38">
        <f>IFERROR(__xludf.DUMMYFUNCTION("""COMPUTED_VALUE"""),12.299234)</f>
        <v>12.299234</v>
      </c>
      <c r="D133" s="4" t="str">
        <f>IFERROR(__xludf.DUMMYFUNCTION("""COMPUTED_VALUE"""),"Kyunsu")</f>
        <v>Kyunsu</v>
      </c>
      <c r="E133" s="10">
        <f>IFERROR(__xludf.DUMMYFUNCTION("""COMPUTED_VALUE"""),43738.0)</f>
        <v>43738</v>
      </c>
    </row>
    <row r="134">
      <c r="A134" s="4" t="str">
        <f>IFERROR(__xludf.DUMMYFUNCTION("""COMPUTED_VALUE"""),"TNI0197")</f>
        <v>TNI0197</v>
      </c>
      <c r="B134" s="38">
        <f>IFERROR(__xludf.DUMMYFUNCTION("""COMPUTED_VALUE"""),98.20294)</f>
        <v>98.20294</v>
      </c>
      <c r="C134" s="38">
        <f>IFERROR(__xludf.DUMMYFUNCTION("""COMPUTED_VALUE"""),14.24457)</f>
        <v>14.24457</v>
      </c>
      <c r="D134" s="4" t="str">
        <f>IFERROR(__xludf.DUMMYFUNCTION("""COMPUTED_VALUE"""),"Yebyu")</f>
        <v>Yebyu</v>
      </c>
      <c r="E134" s="10">
        <f>IFERROR(__xludf.DUMMYFUNCTION("""COMPUTED_VALUE"""),43159.0)</f>
        <v>43159</v>
      </c>
    </row>
    <row r="135">
      <c r="A135" s="4" t="str">
        <f>IFERROR(__xludf.DUMMYFUNCTION("""COMPUTED_VALUE"""),"TNI0202")</f>
        <v>TNI0202</v>
      </c>
      <c r="B135" s="38">
        <f>IFERROR(__xludf.DUMMYFUNCTION("""COMPUTED_VALUE"""),98.52731)</f>
        <v>98.52731</v>
      </c>
      <c r="C135" s="38">
        <f>IFERROR(__xludf.DUMMYFUNCTION("""COMPUTED_VALUE"""),10.09201)</f>
        <v>10.09201</v>
      </c>
      <c r="D135" s="4" t="str">
        <f>IFERROR(__xludf.DUMMYFUNCTION("""COMPUTED_VALUE"""),"Kawthoung")</f>
        <v>Kawthoung</v>
      </c>
      <c r="E135" s="4">
        <f>IFERROR(__xludf.DUMMYFUNCTION("""COMPUTED_VALUE"""),43498.0)</f>
        <v>43498</v>
      </c>
    </row>
    <row r="136">
      <c r="A136" s="4" t="str">
        <f>IFERROR(__xludf.DUMMYFUNCTION("""COMPUTED_VALUE"""),"TNI0198")</f>
        <v>TNI0198</v>
      </c>
      <c r="B136" s="38">
        <f>IFERROR(__xludf.DUMMYFUNCTION("""COMPUTED_VALUE"""),98.24499)</f>
        <v>98.24499</v>
      </c>
      <c r="C136" s="38">
        <f>IFERROR(__xludf.DUMMYFUNCTION("""COMPUTED_VALUE"""),13.95931)</f>
        <v>13.95931</v>
      </c>
      <c r="D136" s="4" t="str">
        <f>IFERROR(__xludf.DUMMYFUNCTION("""COMPUTED_VALUE"""),"Thayetchaung")</f>
        <v>Thayetchaung</v>
      </c>
      <c r="E136" s="4">
        <f>IFERROR(__xludf.DUMMYFUNCTION("""COMPUTED_VALUE"""),43164.0)</f>
        <v>43164</v>
      </c>
    </row>
    <row r="137">
      <c r="A137" s="4" t="str">
        <f>IFERROR(__xludf.DUMMYFUNCTION("""COMPUTED_VALUE"""),"TNI0201")</f>
        <v>TNI0201</v>
      </c>
      <c r="B137" s="38">
        <f>IFERROR(__xludf.DUMMYFUNCTION("""COMPUTED_VALUE"""),98.2505)</f>
        <v>98.2505</v>
      </c>
      <c r="C137" s="38">
        <f>IFERROR(__xludf.DUMMYFUNCTION("""COMPUTED_VALUE"""),13.9092)</f>
        <v>13.9092</v>
      </c>
      <c r="D137" s="4" t="str">
        <f>IFERROR(__xludf.DUMMYFUNCTION("""COMPUTED_VALUE"""),"Thayetchaung")</f>
        <v>Thayetchaung</v>
      </c>
      <c r="E137" s="10">
        <f>IFERROR(__xludf.DUMMYFUNCTION("""COMPUTED_VALUE"""),43432.0)</f>
        <v>43432</v>
      </c>
    </row>
    <row r="138">
      <c r="A138" s="4" t="str">
        <f>IFERROR(__xludf.DUMMYFUNCTION("""COMPUTED_VALUE"""),"TNI0206")</f>
        <v>TNI0206</v>
      </c>
      <c r="B138" s="38">
        <f>IFERROR(__xludf.DUMMYFUNCTION("""COMPUTED_VALUE"""),97.98636)</f>
        <v>97.98636</v>
      </c>
      <c r="C138" s="38">
        <f>IFERROR(__xludf.DUMMYFUNCTION("""COMPUTED_VALUE"""),14.61967)</f>
        <v>14.61967</v>
      </c>
      <c r="D138" s="4" t="str">
        <f>IFERROR(__xludf.DUMMYFUNCTION("""COMPUTED_VALUE"""),"Yebyu")</f>
        <v>Yebyu</v>
      </c>
      <c r="E138" s="10">
        <f>IFERROR(__xludf.DUMMYFUNCTION("""COMPUTED_VALUE"""),43326.0)</f>
        <v>43326</v>
      </c>
    </row>
    <row r="139">
      <c r="A139" s="4" t="str">
        <f>IFERROR(__xludf.DUMMYFUNCTION("""COMPUTED_VALUE"""),"TNI0209")</f>
        <v>TNI0209</v>
      </c>
      <c r="B139" s="38">
        <f>IFERROR(__xludf.DUMMYFUNCTION("""COMPUTED_VALUE"""),98.69872)</f>
        <v>98.69872</v>
      </c>
      <c r="C139" s="38">
        <f>IFERROR(__xludf.DUMMYFUNCTION("""COMPUTED_VALUE"""),11.396882)</f>
        <v>11.396882</v>
      </c>
      <c r="D139" s="4" t="str">
        <f>IFERROR(__xludf.DUMMYFUNCTION("""COMPUTED_VALUE"""),"Bokpyin")</f>
        <v>Bokpyin</v>
      </c>
      <c r="E139" s="10">
        <f>IFERROR(__xludf.DUMMYFUNCTION("""COMPUTED_VALUE"""),43235.0)</f>
        <v>43235</v>
      </c>
    </row>
    <row r="140">
      <c r="A140" s="4" t="str">
        <f>IFERROR(__xludf.DUMMYFUNCTION("""COMPUTED_VALUE"""),"TNI0207")</f>
        <v>TNI0207</v>
      </c>
      <c r="B140" s="38">
        <f>IFERROR(__xludf.DUMMYFUNCTION("""COMPUTED_VALUE"""),98.149693)</f>
        <v>98.149693</v>
      </c>
      <c r="C140" s="38">
        <f>IFERROR(__xludf.DUMMYFUNCTION("""COMPUTED_VALUE"""),14.114106)</f>
        <v>14.114106</v>
      </c>
      <c r="D140" s="4" t="str">
        <f>IFERROR(__xludf.DUMMYFUNCTION("""COMPUTED_VALUE"""),"Launglon")</f>
        <v>Launglon</v>
      </c>
      <c r="E140" s="10">
        <f>IFERROR(__xludf.DUMMYFUNCTION("""COMPUTED_VALUE"""),43371.0)</f>
        <v>43371</v>
      </c>
    </row>
    <row r="141">
      <c r="A141" s="4" t="str">
        <f>IFERROR(__xludf.DUMMYFUNCTION("""COMPUTED_VALUE"""),"TNI0208")</f>
        <v>TNI0208</v>
      </c>
      <c r="B141" s="38">
        <f>IFERROR(__xludf.DUMMYFUNCTION("""COMPUTED_VALUE"""),98.20132)</f>
        <v>98.20132</v>
      </c>
      <c r="C141" s="38">
        <f>IFERROR(__xludf.DUMMYFUNCTION("""COMPUTED_VALUE"""),14.20243)</f>
        <v>14.20243</v>
      </c>
      <c r="D141" s="4" t="str">
        <f>IFERROR(__xludf.DUMMYFUNCTION("""COMPUTED_VALUE"""),"Yebyu")</f>
        <v>Yebyu</v>
      </c>
      <c r="E141" s="10">
        <f>IFERROR(__xludf.DUMMYFUNCTION("""COMPUTED_VALUE"""),43158.0)</f>
        <v>43158</v>
      </c>
    </row>
    <row r="142">
      <c r="A142" s="4" t="str">
        <f>IFERROR(__xludf.DUMMYFUNCTION("""COMPUTED_VALUE"""),"TNI0212")</f>
        <v>TNI0212</v>
      </c>
      <c r="B142" s="38">
        <f>IFERROR(__xludf.DUMMYFUNCTION("""COMPUTED_VALUE"""),98.928818)</f>
        <v>98.928818</v>
      </c>
      <c r="C142" s="38">
        <f>IFERROR(__xludf.DUMMYFUNCTION("""COMPUTED_VALUE"""),12.058078)</f>
        <v>12.058078</v>
      </c>
      <c r="D142" s="4" t="str">
        <f>IFERROR(__xludf.DUMMYFUNCTION("""COMPUTED_VALUE"""),"Tanintharyi")</f>
        <v>Tanintharyi</v>
      </c>
      <c r="E142" s="10">
        <f>IFERROR(__xludf.DUMMYFUNCTION("""COMPUTED_VALUE"""),43785.0)</f>
        <v>43785</v>
      </c>
    </row>
    <row r="143">
      <c r="A143" s="4" t="str">
        <f>IFERROR(__xludf.DUMMYFUNCTION("""COMPUTED_VALUE"""),"TNI0210")</f>
        <v>TNI0210</v>
      </c>
      <c r="B143" s="38">
        <f>IFERROR(__xludf.DUMMYFUNCTION("""COMPUTED_VALUE"""),98.30087)</f>
        <v>98.30087</v>
      </c>
      <c r="C143" s="38">
        <f>IFERROR(__xludf.DUMMYFUNCTION("""COMPUTED_VALUE"""),13.665888)</f>
        <v>13.665888</v>
      </c>
      <c r="D143" s="4" t="str">
        <f>IFERROR(__xludf.DUMMYFUNCTION("""COMPUTED_VALUE"""),"Thayetchaung")</f>
        <v>Thayetchaung</v>
      </c>
      <c r="E143" s="10">
        <f>IFERROR(__xludf.DUMMYFUNCTION("""COMPUTED_VALUE"""),43496.0)</f>
        <v>43496</v>
      </c>
    </row>
    <row r="144">
      <c r="A144" s="4" t="str">
        <f>IFERROR(__xludf.DUMMYFUNCTION("""COMPUTED_VALUE"""),"TNI0211")</f>
        <v>TNI0211</v>
      </c>
      <c r="B144" s="38">
        <f>IFERROR(__xludf.DUMMYFUNCTION("""COMPUTED_VALUE"""),98.139159)</f>
        <v>98.139159</v>
      </c>
      <c r="C144" s="38">
        <f>IFERROR(__xludf.DUMMYFUNCTION("""COMPUTED_VALUE"""),13.957333)</f>
        <v>13.957333</v>
      </c>
      <c r="D144" s="4" t="str">
        <f>IFERROR(__xludf.DUMMYFUNCTION("""COMPUTED_VALUE"""),"Launglon")</f>
        <v>Launglon</v>
      </c>
      <c r="E144" s="10">
        <f>IFERROR(__xludf.DUMMYFUNCTION("""COMPUTED_VALUE"""),43361.0)</f>
        <v>43361</v>
      </c>
    </row>
    <row r="145">
      <c r="A145" s="4" t="str">
        <f>IFERROR(__xludf.DUMMYFUNCTION("""COMPUTED_VALUE"""),"TNI0215")</f>
        <v>TNI0215</v>
      </c>
      <c r="B145" s="38">
        <f>IFERROR(__xludf.DUMMYFUNCTION("""COMPUTED_VALUE"""),98.52842)</f>
        <v>98.52842</v>
      </c>
      <c r="C145" s="38">
        <f>IFERROR(__xludf.DUMMYFUNCTION("""COMPUTED_VALUE"""),13.39662)</f>
        <v>13.39662</v>
      </c>
      <c r="D145" s="4" t="str">
        <f>IFERROR(__xludf.DUMMYFUNCTION("""COMPUTED_VALUE"""),"Thayetchaung")</f>
        <v>Thayetchaung</v>
      </c>
      <c r="E145" s="10">
        <f>IFERROR(__xludf.DUMMYFUNCTION("""COMPUTED_VALUE"""),43212.0)</f>
        <v>43212</v>
      </c>
    </row>
    <row r="146">
      <c r="A146" s="4" t="str">
        <f>IFERROR(__xludf.DUMMYFUNCTION("""COMPUTED_VALUE"""),"TNI0213")</f>
        <v>TNI0213</v>
      </c>
      <c r="B146" s="38">
        <f>IFERROR(__xludf.DUMMYFUNCTION("""COMPUTED_VALUE"""),98.02777)</f>
        <v>98.02777</v>
      </c>
      <c r="C146" s="38">
        <f>IFERROR(__xludf.DUMMYFUNCTION("""COMPUTED_VALUE"""),14.59855)</f>
        <v>14.59855</v>
      </c>
      <c r="D146" s="4" t="str">
        <f>IFERROR(__xludf.DUMMYFUNCTION("""COMPUTED_VALUE"""),"Yebyu")</f>
        <v>Yebyu</v>
      </c>
      <c r="E146" s="10">
        <f>IFERROR(__xludf.DUMMYFUNCTION("""COMPUTED_VALUE"""),43306.0)</f>
        <v>43306</v>
      </c>
    </row>
    <row r="147">
      <c r="A147" s="4" t="str">
        <f>IFERROR(__xludf.DUMMYFUNCTION("""COMPUTED_VALUE"""),"TNI0214")</f>
        <v>TNI0214</v>
      </c>
      <c r="B147" s="38">
        <f>IFERROR(__xludf.DUMMYFUNCTION("""COMPUTED_VALUE"""),98.27615)</f>
        <v>98.27615</v>
      </c>
      <c r="C147" s="38">
        <f>IFERROR(__xludf.DUMMYFUNCTION("""COMPUTED_VALUE"""),13.93357)</f>
        <v>13.93357</v>
      </c>
      <c r="D147" s="4" t="str">
        <f>IFERROR(__xludf.DUMMYFUNCTION("""COMPUTED_VALUE"""),"Thayetchaung")</f>
        <v>Thayetchaung</v>
      </c>
      <c r="E147" s="10">
        <f>IFERROR(__xludf.DUMMYFUNCTION("""COMPUTED_VALUE"""),43268.0)</f>
        <v>43268</v>
      </c>
    </row>
    <row r="148">
      <c r="A148" s="4" t="str">
        <f>IFERROR(__xludf.DUMMYFUNCTION("""COMPUTED_VALUE"""),"TNI0216")</f>
        <v>TNI0216</v>
      </c>
      <c r="B148" s="38">
        <f>IFERROR(__xludf.DUMMYFUNCTION("""COMPUTED_VALUE"""),98.173675)</f>
        <v>98.173675</v>
      </c>
      <c r="C148" s="38">
        <f>IFERROR(__xludf.DUMMYFUNCTION("""COMPUTED_VALUE"""),14.149279)</f>
        <v>14.149279</v>
      </c>
      <c r="D148" s="4" t="str">
        <f>IFERROR(__xludf.DUMMYFUNCTION("""COMPUTED_VALUE"""),"Launglon")</f>
        <v>Launglon</v>
      </c>
      <c r="E148" s="4">
        <f>IFERROR(__xludf.DUMMYFUNCTION("""COMPUTED_VALUE"""),45408.39984)</f>
        <v>45408.39984</v>
      </c>
    </row>
    <row r="149">
      <c r="A149" s="4" t="str">
        <f>IFERROR(__xludf.DUMMYFUNCTION("""COMPUTED_VALUE"""),"TNI0227")</f>
        <v>TNI0227</v>
      </c>
      <c r="B149" s="38">
        <f>IFERROR(__xludf.DUMMYFUNCTION("""COMPUTED_VALUE"""),98.4804)</f>
        <v>98.4804</v>
      </c>
      <c r="C149" s="38">
        <f>IFERROR(__xludf.DUMMYFUNCTION("""COMPUTED_VALUE"""),10.5698)</f>
        <v>10.5698</v>
      </c>
      <c r="D149" s="4" t="str">
        <f>IFERROR(__xludf.DUMMYFUNCTION("""COMPUTED_VALUE"""),"Kawthoung")</f>
        <v>Kawthoung</v>
      </c>
      <c r="E149" s="10">
        <f>IFERROR(__xludf.DUMMYFUNCTION("""COMPUTED_VALUE"""),43788.0)</f>
        <v>43788</v>
      </c>
    </row>
    <row r="150">
      <c r="A150" s="4" t="str">
        <f>IFERROR(__xludf.DUMMYFUNCTION("""COMPUTED_VALUE"""),"TNI0228")</f>
        <v>TNI0228</v>
      </c>
      <c r="B150" s="38">
        <f>IFERROR(__xludf.DUMMYFUNCTION("""COMPUTED_VALUE"""),98.62817)</f>
        <v>98.62817</v>
      </c>
      <c r="C150" s="38">
        <f>IFERROR(__xludf.DUMMYFUNCTION("""COMPUTED_VALUE"""),12.43744)</f>
        <v>12.43744</v>
      </c>
      <c r="D150" s="4" t="str">
        <f>IFERROR(__xludf.DUMMYFUNCTION("""COMPUTED_VALUE"""),"Myeik")</f>
        <v>Myeik</v>
      </c>
      <c r="E150" s="4">
        <f>IFERROR(__xludf.DUMMYFUNCTION("""COMPUTED_VALUE"""),43106.0)</f>
        <v>43106</v>
      </c>
    </row>
    <row r="151">
      <c r="A151" s="4" t="str">
        <f>IFERROR(__xludf.DUMMYFUNCTION("""COMPUTED_VALUE"""),"TNI0229")</f>
        <v>TNI0229</v>
      </c>
      <c r="B151" s="38">
        <f>IFERROR(__xludf.DUMMYFUNCTION("""COMPUTED_VALUE"""),98.5516)</f>
        <v>98.5516</v>
      </c>
      <c r="C151" s="38">
        <f>IFERROR(__xludf.DUMMYFUNCTION("""COMPUTED_VALUE"""),9.98735)</f>
        <v>9.98735</v>
      </c>
      <c r="D151" s="4" t="str">
        <f>IFERROR(__xludf.DUMMYFUNCTION("""COMPUTED_VALUE"""),"Kawthoung")</f>
        <v>Kawthoung</v>
      </c>
      <c r="E151" s="10">
        <f>IFERROR(__xludf.DUMMYFUNCTION("""COMPUTED_VALUE"""),43182.0)</f>
        <v>43182</v>
      </c>
    </row>
    <row r="152">
      <c r="A152" s="4" t="str">
        <f>IFERROR(__xludf.DUMMYFUNCTION("""COMPUTED_VALUE"""),"TNI0219")</f>
        <v>TNI0219</v>
      </c>
      <c r="B152" s="38">
        <f>IFERROR(__xludf.DUMMYFUNCTION("""COMPUTED_VALUE"""),98.195495)</f>
        <v>98.195495</v>
      </c>
      <c r="C152" s="38">
        <f>IFERROR(__xludf.DUMMYFUNCTION("""COMPUTED_VALUE"""),13.919829)</f>
        <v>13.919829</v>
      </c>
      <c r="D152" s="4" t="str">
        <f>IFERROR(__xludf.DUMMYFUNCTION("""COMPUTED_VALUE"""),"Launglon")</f>
        <v>Launglon</v>
      </c>
      <c r="E152" s="4">
        <f>IFERROR(__xludf.DUMMYFUNCTION("""COMPUTED_VALUE"""),43502.0)</f>
        <v>43502</v>
      </c>
    </row>
    <row r="153">
      <c r="A153" s="4" t="str">
        <f>IFERROR(__xludf.DUMMYFUNCTION("""COMPUTED_VALUE"""),"TNI0232")</f>
        <v>TNI0232</v>
      </c>
      <c r="B153" s="38">
        <f>IFERROR(__xludf.DUMMYFUNCTION("""COMPUTED_VALUE"""),98.611507)</f>
        <v>98.611507</v>
      </c>
      <c r="C153" s="38">
        <f>IFERROR(__xludf.DUMMYFUNCTION("""COMPUTED_VALUE"""),12.44991)</f>
        <v>12.44991</v>
      </c>
      <c r="D153" s="4" t="str">
        <f>IFERROR(__xludf.DUMMYFUNCTION("""COMPUTED_VALUE"""),"Myeik")</f>
        <v>Myeik</v>
      </c>
      <c r="E153" s="41">
        <f>IFERROR(__xludf.DUMMYFUNCTION("""COMPUTED_VALUE"""),43377.0)</f>
        <v>43377</v>
      </c>
    </row>
    <row r="154">
      <c r="A154" s="4" t="str">
        <f>IFERROR(__xludf.DUMMYFUNCTION("""COMPUTED_VALUE"""),"TNI0233")</f>
        <v>TNI0233</v>
      </c>
      <c r="B154" s="38">
        <f>IFERROR(__xludf.DUMMYFUNCTION("""COMPUTED_VALUE"""),98.529273)</f>
        <v>98.529273</v>
      </c>
      <c r="C154" s="38">
        <f>IFERROR(__xludf.DUMMYFUNCTION("""COMPUTED_VALUE"""),10.013115)</f>
        <v>10.013115</v>
      </c>
      <c r="D154" s="4" t="str">
        <f>IFERROR(__xludf.DUMMYFUNCTION("""COMPUTED_VALUE"""),"Kawthoung")</f>
        <v>Kawthoung</v>
      </c>
      <c r="E154" s="10">
        <f>IFERROR(__xludf.DUMMYFUNCTION("""COMPUTED_VALUE"""),43524.0)</f>
        <v>43524</v>
      </c>
    </row>
    <row r="155">
      <c r="A155" s="4" t="str">
        <f>IFERROR(__xludf.DUMMYFUNCTION("""COMPUTED_VALUE"""),"TNI0234")</f>
        <v>TNI0234</v>
      </c>
      <c r="B155" s="38">
        <f>IFERROR(__xludf.DUMMYFUNCTION("""COMPUTED_VALUE"""),98.67941)</f>
        <v>98.67941</v>
      </c>
      <c r="C155" s="38">
        <f>IFERROR(__xludf.DUMMYFUNCTION("""COMPUTED_VALUE"""),13.017754)</f>
        <v>13.017754</v>
      </c>
      <c r="D155" s="4" t="str">
        <f>IFERROR(__xludf.DUMMYFUNCTION("""COMPUTED_VALUE"""),"Palaw")</f>
        <v>Palaw</v>
      </c>
      <c r="E155" s="10">
        <f>IFERROR(__xludf.DUMMYFUNCTION("""COMPUTED_VALUE"""),43889.0)</f>
        <v>43889</v>
      </c>
    </row>
    <row r="156">
      <c r="A156" s="4" t="str">
        <f>IFERROR(__xludf.DUMMYFUNCTION("""COMPUTED_VALUE"""),"TNI0235")</f>
        <v>TNI0235</v>
      </c>
      <c r="B156" s="38">
        <f>IFERROR(__xludf.DUMMYFUNCTION("""COMPUTED_VALUE"""),98.55379)</f>
        <v>98.55379</v>
      </c>
      <c r="C156" s="38">
        <f>IFERROR(__xludf.DUMMYFUNCTION("""COMPUTED_VALUE"""),9.979754)</f>
        <v>9.979754</v>
      </c>
      <c r="D156" s="4" t="str">
        <f>IFERROR(__xludf.DUMMYFUNCTION("""COMPUTED_VALUE"""),"Kawthoung")</f>
        <v>Kawthoung</v>
      </c>
      <c r="E156" s="10">
        <f>IFERROR(__xludf.DUMMYFUNCTION("""COMPUTED_VALUE"""),43581.0)</f>
        <v>43581</v>
      </c>
    </row>
    <row r="157">
      <c r="A157" s="4" t="str">
        <f>IFERROR(__xludf.DUMMYFUNCTION("""COMPUTED_VALUE"""),"TNI0236")</f>
        <v>TNI0236</v>
      </c>
      <c r="B157" s="38">
        <f>IFERROR(__xludf.DUMMYFUNCTION("""COMPUTED_VALUE"""),98.599439)</f>
        <v>98.599439</v>
      </c>
      <c r="C157" s="38">
        <f>IFERROR(__xludf.DUMMYFUNCTION("""COMPUTED_VALUE"""),12.43329)</f>
        <v>12.43329</v>
      </c>
      <c r="D157" s="4" t="str">
        <f>IFERROR(__xludf.DUMMYFUNCTION("""COMPUTED_VALUE"""),"Myeik")</f>
        <v>Myeik</v>
      </c>
      <c r="E157" s="10">
        <f>IFERROR(__xludf.DUMMYFUNCTION("""COMPUTED_VALUE"""),43183.0)</f>
        <v>43183</v>
      </c>
    </row>
    <row r="158">
      <c r="A158" s="4" t="str">
        <f>IFERROR(__xludf.DUMMYFUNCTION("""COMPUTED_VALUE"""),"TNI0237")</f>
        <v>TNI0237</v>
      </c>
      <c r="B158" s="38">
        <f>IFERROR(__xludf.DUMMYFUNCTION("""COMPUTED_VALUE"""),98.600948)</f>
        <v>98.600948</v>
      </c>
      <c r="C158" s="38">
        <f>IFERROR(__xludf.DUMMYFUNCTION("""COMPUTED_VALUE"""),12.44114)</f>
        <v>12.44114</v>
      </c>
      <c r="D158" s="4" t="str">
        <f>IFERROR(__xludf.DUMMYFUNCTION("""COMPUTED_VALUE"""),"Myeik")</f>
        <v>Myeik</v>
      </c>
      <c r="E158" s="10">
        <f>IFERROR(__xludf.DUMMYFUNCTION("""COMPUTED_VALUE"""),43184.0)</f>
        <v>43184</v>
      </c>
    </row>
    <row r="159">
      <c r="A159" s="4" t="str">
        <f>IFERROR(__xludf.DUMMYFUNCTION("""COMPUTED_VALUE"""),"TNI0220")</f>
        <v>TNI0220</v>
      </c>
      <c r="B159" s="38">
        <f>IFERROR(__xludf.DUMMYFUNCTION("""COMPUTED_VALUE"""),97.9688)</f>
        <v>97.9688</v>
      </c>
      <c r="C159" s="38">
        <f>IFERROR(__xludf.DUMMYFUNCTION("""COMPUTED_VALUE"""),14.68138)</f>
        <v>14.68138</v>
      </c>
      <c r="D159" s="4" t="str">
        <f>IFERROR(__xludf.DUMMYFUNCTION("""COMPUTED_VALUE"""),"Yebyu")</f>
        <v>Yebyu</v>
      </c>
      <c r="E159" s="10">
        <f>IFERROR(__xludf.DUMMYFUNCTION("""COMPUTED_VALUE"""),43615.0)</f>
        <v>43615</v>
      </c>
    </row>
    <row r="160">
      <c r="A160" s="4" t="str">
        <f>IFERROR(__xludf.DUMMYFUNCTION("""COMPUTED_VALUE"""),"TNI0239")</f>
        <v>TNI0239</v>
      </c>
      <c r="B160" s="38">
        <f>IFERROR(__xludf.DUMMYFUNCTION("""COMPUTED_VALUE"""),98.61386)</f>
        <v>98.61386</v>
      </c>
      <c r="C160" s="38">
        <f>IFERROR(__xludf.DUMMYFUNCTION("""COMPUTED_VALUE"""),12.45862)</f>
        <v>12.45862</v>
      </c>
      <c r="D160" s="4" t="str">
        <f>IFERROR(__xludf.DUMMYFUNCTION("""COMPUTED_VALUE"""),"Myeik")</f>
        <v>Myeik</v>
      </c>
      <c r="E160" s="10">
        <f>IFERROR(__xludf.DUMMYFUNCTION("""COMPUTED_VALUE"""),43188.0)</f>
        <v>43188</v>
      </c>
    </row>
    <row r="161">
      <c r="A161" s="4" t="str">
        <f>IFERROR(__xludf.DUMMYFUNCTION("""COMPUTED_VALUE"""),"TNI0240")</f>
        <v>TNI0240</v>
      </c>
      <c r="B161" s="38">
        <f>IFERROR(__xludf.DUMMYFUNCTION("""COMPUTED_VALUE"""),98.600756)</f>
        <v>98.600756</v>
      </c>
      <c r="C161" s="38">
        <f>IFERROR(__xludf.DUMMYFUNCTION("""COMPUTED_VALUE"""),12.45066)</f>
        <v>12.45066</v>
      </c>
      <c r="D161" s="4" t="str">
        <f>IFERROR(__xludf.DUMMYFUNCTION("""COMPUTED_VALUE"""),"Myeik")</f>
        <v>Myeik</v>
      </c>
      <c r="E161" s="10">
        <f>IFERROR(__xludf.DUMMYFUNCTION("""COMPUTED_VALUE"""),43270.0)</f>
        <v>43270</v>
      </c>
    </row>
    <row r="162">
      <c r="A162" s="4" t="str">
        <f>IFERROR(__xludf.DUMMYFUNCTION("""COMPUTED_VALUE"""),"TNI0241")</f>
        <v>TNI0241</v>
      </c>
      <c r="B162" s="38">
        <f>IFERROR(__xludf.DUMMYFUNCTION("""COMPUTED_VALUE"""),98.61578)</f>
        <v>98.61578</v>
      </c>
      <c r="C162" s="38">
        <f>IFERROR(__xludf.DUMMYFUNCTION("""COMPUTED_VALUE"""),12.43512)</f>
        <v>12.43512</v>
      </c>
      <c r="D162" s="4" t="str">
        <f>IFERROR(__xludf.DUMMYFUNCTION("""COMPUTED_VALUE"""),"Myeik")</f>
        <v>Myeik</v>
      </c>
      <c r="E162" s="10">
        <f>IFERROR(__xludf.DUMMYFUNCTION("""COMPUTED_VALUE"""),43516.0)</f>
        <v>43516</v>
      </c>
    </row>
    <row r="163">
      <c r="A163" s="4" t="str">
        <f>IFERROR(__xludf.DUMMYFUNCTION("""COMPUTED_VALUE"""),"TNI0242")</f>
        <v>TNI0242</v>
      </c>
      <c r="B163" s="38">
        <f>IFERROR(__xludf.DUMMYFUNCTION("""COMPUTED_VALUE"""),98.609095)</f>
        <v>98.609095</v>
      </c>
      <c r="C163" s="38">
        <f>IFERROR(__xludf.DUMMYFUNCTION("""COMPUTED_VALUE"""),12.460298)</f>
        <v>12.460298</v>
      </c>
      <c r="D163" s="4" t="str">
        <f>IFERROR(__xludf.DUMMYFUNCTION("""COMPUTED_VALUE"""),"Myeik")</f>
        <v>Myeik</v>
      </c>
      <c r="E163" s="10">
        <f>IFERROR(__xludf.DUMMYFUNCTION("""COMPUTED_VALUE"""),43203.0)</f>
        <v>43203</v>
      </c>
    </row>
    <row r="164">
      <c r="A164" s="4" t="str">
        <f>IFERROR(__xludf.DUMMYFUNCTION("""COMPUTED_VALUE"""),"TNI0243")</f>
        <v>TNI0243</v>
      </c>
      <c r="B164" s="38">
        <f>IFERROR(__xludf.DUMMYFUNCTION("""COMPUTED_VALUE"""),98.56216)</f>
        <v>98.56216</v>
      </c>
      <c r="C164" s="38">
        <f>IFERROR(__xludf.DUMMYFUNCTION("""COMPUTED_VALUE"""),10.00511)</f>
        <v>10.00511</v>
      </c>
      <c r="D164" s="4" t="str">
        <f>IFERROR(__xludf.DUMMYFUNCTION("""COMPUTED_VALUE"""),"Kawthoung")</f>
        <v>Kawthoung</v>
      </c>
      <c r="E164" s="4">
        <f>IFERROR(__xludf.DUMMYFUNCTION("""COMPUTED_VALUE"""),43285.0)</f>
        <v>43285</v>
      </c>
    </row>
    <row r="165">
      <c r="A165" s="4" t="str">
        <f>IFERROR(__xludf.DUMMYFUNCTION("""COMPUTED_VALUE"""),"TNI0244")</f>
        <v>TNI0244</v>
      </c>
      <c r="B165" s="38">
        <f>IFERROR(__xludf.DUMMYFUNCTION("""COMPUTED_VALUE"""),98.54917)</f>
        <v>98.54917</v>
      </c>
      <c r="C165" s="38">
        <f>IFERROR(__xludf.DUMMYFUNCTION("""COMPUTED_VALUE"""),9.98516)</f>
        <v>9.98516</v>
      </c>
      <c r="D165" s="4" t="str">
        <f>IFERROR(__xludf.DUMMYFUNCTION("""COMPUTED_VALUE"""),"Kawthoung")</f>
        <v>Kawthoung</v>
      </c>
      <c r="E165" s="10">
        <f>IFERROR(__xludf.DUMMYFUNCTION("""COMPUTED_VALUE"""),43181.0)</f>
        <v>43181</v>
      </c>
    </row>
    <row r="166">
      <c r="A166" s="4" t="str">
        <f>IFERROR(__xludf.DUMMYFUNCTION("""COMPUTED_VALUE"""),"TNI0231")</f>
        <v>TNI0231</v>
      </c>
      <c r="B166" s="38">
        <f>IFERROR(__xludf.DUMMYFUNCTION("""COMPUTED_VALUE"""),98.23246)</f>
        <v>98.23246</v>
      </c>
      <c r="C166" s="38">
        <f>IFERROR(__xludf.DUMMYFUNCTION("""COMPUTED_VALUE"""),14.08237)</f>
        <v>14.08237</v>
      </c>
      <c r="D166" s="4" t="str">
        <f>IFERROR(__xludf.DUMMYFUNCTION("""COMPUTED_VALUE"""),"Dawei")</f>
        <v>Dawei</v>
      </c>
      <c r="E166" s="10">
        <f>IFERROR(__xludf.DUMMYFUNCTION("""COMPUTED_VALUE"""),43178.0)</f>
        <v>43178</v>
      </c>
    </row>
    <row r="167">
      <c r="A167" s="4" t="str">
        <f>IFERROR(__xludf.DUMMYFUNCTION("""COMPUTED_VALUE"""),"TNI0246")</f>
        <v>TNI0246</v>
      </c>
      <c r="B167" s="38">
        <f>IFERROR(__xludf.DUMMYFUNCTION("""COMPUTED_VALUE"""),98.661203)</f>
        <v>98.661203</v>
      </c>
      <c r="C167" s="38">
        <f>IFERROR(__xludf.DUMMYFUNCTION("""COMPUTED_VALUE"""),12.460102)</f>
        <v>12.460102</v>
      </c>
      <c r="D167" s="4" t="str">
        <f>IFERROR(__xludf.DUMMYFUNCTION("""COMPUTED_VALUE"""),"Myeik")</f>
        <v>Myeik</v>
      </c>
      <c r="E167" s="10">
        <f>IFERROR(__xludf.DUMMYFUNCTION("""COMPUTED_VALUE"""),43250.0)</f>
        <v>43250</v>
      </c>
    </row>
    <row r="168">
      <c r="A168" s="4" t="str">
        <f>IFERROR(__xludf.DUMMYFUNCTION("""COMPUTED_VALUE"""),"TNI0238")</f>
        <v>TNI0238</v>
      </c>
      <c r="B168" s="38">
        <f>IFERROR(__xludf.DUMMYFUNCTION("""COMPUTED_VALUE"""),98.21035)</f>
        <v>98.21035</v>
      </c>
      <c r="C168" s="38">
        <f>IFERROR(__xludf.DUMMYFUNCTION("""COMPUTED_VALUE"""),14.07315)</f>
        <v>14.07315</v>
      </c>
      <c r="D168" s="4" t="str">
        <f>IFERROR(__xludf.DUMMYFUNCTION("""COMPUTED_VALUE"""),"Dawei")</f>
        <v>Dawei</v>
      </c>
      <c r="E168" s="4">
        <f>IFERROR(__xludf.DUMMYFUNCTION("""COMPUTED_VALUE"""),43104.0)</f>
        <v>43104</v>
      </c>
    </row>
    <row r="169">
      <c r="A169" s="4" t="str">
        <f>IFERROR(__xludf.DUMMYFUNCTION("""COMPUTED_VALUE"""),"TNI0248")</f>
        <v>TNI0248</v>
      </c>
      <c r="B169" s="38">
        <f>IFERROR(__xludf.DUMMYFUNCTION("""COMPUTED_VALUE"""),98.63673)</f>
        <v>98.63673</v>
      </c>
      <c r="C169" s="38">
        <f>IFERROR(__xludf.DUMMYFUNCTION("""COMPUTED_VALUE"""),12.457924)</f>
        <v>12.457924</v>
      </c>
      <c r="D169" s="4" t="str">
        <f>IFERROR(__xludf.DUMMYFUNCTION("""COMPUTED_VALUE"""),"Myeik")</f>
        <v>Myeik</v>
      </c>
      <c r="E169" s="10">
        <f>IFERROR(__xludf.DUMMYFUNCTION("""COMPUTED_VALUE"""),43210.0)</f>
        <v>43210</v>
      </c>
    </row>
    <row r="170">
      <c r="A170" s="4" t="str">
        <f>IFERROR(__xludf.DUMMYFUNCTION("""COMPUTED_VALUE"""),"TNI0249")</f>
        <v>TNI0249</v>
      </c>
      <c r="B170" s="38">
        <f>IFERROR(__xludf.DUMMYFUNCTION("""COMPUTED_VALUE"""),98.560806)</f>
        <v>98.560806</v>
      </c>
      <c r="C170" s="38">
        <f>IFERROR(__xludf.DUMMYFUNCTION("""COMPUTED_VALUE"""),10.009964)</f>
        <v>10.009964</v>
      </c>
      <c r="D170" s="4" t="str">
        <f>IFERROR(__xludf.DUMMYFUNCTION("""COMPUTED_VALUE"""),"Kawthoung")</f>
        <v>Kawthoung</v>
      </c>
      <c r="E170" s="10">
        <f>IFERROR(__xludf.DUMMYFUNCTION("""COMPUTED_VALUE"""),43568.0)</f>
        <v>43568</v>
      </c>
    </row>
    <row r="171">
      <c r="A171" s="4" t="str">
        <f>IFERROR(__xludf.DUMMYFUNCTION("""COMPUTED_VALUE"""),"TNI0245")</f>
        <v>TNI0245</v>
      </c>
      <c r="B171" s="38">
        <f>IFERROR(__xludf.DUMMYFUNCTION("""COMPUTED_VALUE"""),98.184955)</f>
        <v>98.184955</v>
      </c>
      <c r="C171" s="38">
        <f>IFERROR(__xludf.DUMMYFUNCTION("""COMPUTED_VALUE"""),14.080425)</f>
        <v>14.080425</v>
      </c>
      <c r="D171" s="4" t="str">
        <f>IFERROR(__xludf.DUMMYFUNCTION("""COMPUTED_VALUE"""),"Dawei")</f>
        <v>Dawei</v>
      </c>
      <c r="E171" s="10">
        <f>IFERROR(__xludf.DUMMYFUNCTION("""COMPUTED_VALUE"""),43210.0)</f>
        <v>43210</v>
      </c>
    </row>
    <row r="172">
      <c r="A172" s="4" t="str">
        <f>IFERROR(__xludf.DUMMYFUNCTION("""COMPUTED_VALUE"""),"TNI0247")</f>
        <v>TNI0247</v>
      </c>
      <c r="B172" s="38">
        <f>IFERROR(__xludf.DUMMYFUNCTION("""COMPUTED_VALUE"""),98.19923)</f>
        <v>98.19923</v>
      </c>
      <c r="C172" s="38">
        <f>IFERROR(__xludf.DUMMYFUNCTION("""COMPUTED_VALUE"""),14.08436)</f>
        <v>14.08436</v>
      </c>
      <c r="D172" s="4" t="str">
        <f>IFERROR(__xludf.DUMMYFUNCTION("""COMPUTED_VALUE"""),"Dawei")</f>
        <v>Dawei</v>
      </c>
      <c r="E172" s="10">
        <f>IFERROR(__xludf.DUMMYFUNCTION("""COMPUTED_VALUE"""),43752.0)</f>
        <v>43752</v>
      </c>
    </row>
    <row r="173">
      <c r="A173" s="4" t="str">
        <f>IFERROR(__xludf.DUMMYFUNCTION("""COMPUTED_VALUE"""),"TNI0252")</f>
        <v>TNI0252</v>
      </c>
      <c r="B173" s="38">
        <f>IFERROR(__xludf.DUMMYFUNCTION("""COMPUTED_VALUE"""),98.628178)</f>
        <v>98.628178</v>
      </c>
      <c r="C173" s="38">
        <f>IFERROR(__xludf.DUMMYFUNCTION("""COMPUTED_VALUE"""),12.465836)</f>
        <v>12.465836</v>
      </c>
      <c r="D173" s="4" t="str">
        <f>IFERROR(__xludf.DUMMYFUNCTION("""COMPUTED_VALUE"""),"Myeik")</f>
        <v>Myeik</v>
      </c>
      <c r="E173" s="10">
        <f>IFERROR(__xludf.DUMMYFUNCTION("""COMPUTED_VALUE"""),43247.0)</f>
        <v>43247</v>
      </c>
    </row>
    <row r="174">
      <c r="A174" s="4" t="str">
        <f>IFERROR(__xludf.DUMMYFUNCTION("""COMPUTED_VALUE"""),"TNI0250")</f>
        <v>TNI0250</v>
      </c>
      <c r="B174" s="38">
        <f>IFERROR(__xludf.DUMMYFUNCTION("""COMPUTED_VALUE"""),98.19303)</f>
        <v>98.19303</v>
      </c>
      <c r="C174" s="38">
        <f>IFERROR(__xludf.DUMMYFUNCTION("""COMPUTED_VALUE"""),14.095745)</f>
        <v>14.095745</v>
      </c>
      <c r="D174" s="4" t="str">
        <f>IFERROR(__xludf.DUMMYFUNCTION("""COMPUTED_VALUE"""),"Dawei")</f>
        <v>Dawei</v>
      </c>
      <c r="E174" s="4">
        <f>IFERROR(__xludf.DUMMYFUNCTION("""COMPUTED_VALUE"""),43285.0)</f>
        <v>43285</v>
      </c>
    </row>
    <row r="175">
      <c r="A175" s="4" t="str">
        <f>IFERROR(__xludf.DUMMYFUNCTION("""COMPUTED_VALUE"""),"TNI0254")</f>
        <v>TNI0254</v>
      </c>
      <c r="B175" s="38">
        <f>IFERROR(__xludf.DUMMYFUNCTION("""COMPUTED_VALUE"""),98.552935)</f>
        <v>98.552935</v>
      </c>
      <c r="C175" s="38">
        <f>IFERROR(__xludf.DUMMYFUNCTION("""COMPUTED_VALUE"""),9.97981)</f>
        <v>9.97981</v>
      </c>
      <c r="D175" s="4" t="str">
        <f>IFERROR(__xludf.DUMMYFUNCTION("""COMPUTED_VALUE"""),"Kawthoung")</f>
        <v>Kawthoung</v>
      </c>
      <c r="E175" s="10">
        <f>IFERROR(__xludf.DUMMYFUNCTION("""COMPUTED_VALUE"""),43644.0)</f>
        <v>43644</v>
      </c>
    </row>
    <row r="176">
      <c r="A176" s="4" t="str">
        <f>IFERROR(__xludf.DUMMYFUNCTION("""COMPUTED_VALUE"""),"TNI0255")</f>
        <v>TNI0255</v>
      </c>
      <c r="B176" s="38">
        <f>IFERROR(__xludf.DUMMYFUNCTION("""COMPUTED_VALUE"""),98.619992)</f>
        <v>98.619992</v>
      </c>
      <c r="C176" s="38">
        <f>IFERROR(__xludf.DUMMYFUNCTION("""COMPUTED_VALUE"""),12.473523)</f>
        <v>12.473523</v>
      </c>
      <c r="D176" s="4" t="str">
        <f>IFERROR(__xludf.DUMMYFUNCTION("""COMPUTED_VALUE"""),"Myeik")</f>
        <v>Myeik</v>
      </c>
      <c r="E176" s="4">
        <f>IFERROR(__xludf.DUMMYFUNCTION("""COMPUTED_VALUE"""),43225.0)</f>
        <v>43225</v>
      </c>
    </row>
    <row r="177">
      <c r="A177" s="4" t="str">
        <f>IFERROR(__xludf.DUMMYFUNCTION("""COMPUTED_VALUE"""),"TNI0251")</f>
        <v>TNI0251</v>
      </c>
      <c r="B177" s="38">
        <f>IFERROR(__xludf.DUMMYFUNCTION("""COMPUTED_VALUE"""),98.18951)</f>
        <v>98.18951</v>
      </c>
      <c r="C177" s="38">
        <f>IFERROR(__xludf.DUMMYFUNCTION("""COMPUTED_VALUE"""),14.08095)</f>
        <v>14.08095</v>
      </c>
      <c r="D177" s="4" t="str">
        <f>IFERROR(__xludf.DUMMYFUNCTION("""COMPUTED_VALUE"""),"Dawei")</f>
        <v>Dawei</v>
      </c>
      <c r="E177" s="10">
        <f>IFERROR(__xludf.DUMMYFUNCTION("""COMPUTED_VALUE"""),43241.0)</f>
        <v>43241</v>
      </c>
    </row>
    <row r="178">
      <c r="A178" s="4" t="str">
        <f>IFERROR(__xludf.DUMMYFUNCTION("""COMPUTED_VALUE"""),"TNI0253")</f>
        <v>TNI0253</v>
      </c>
      <c r="B178" s="38">
        <f>IFERROR(__xludf.DUMMYFUNCTION("""COMPUTED_VALUE"""),98.188247)</f>
        <v>98.188247</v>
      </c>
      <c r="C178" s="38">
        <f>IFERROR(__xludf.DUMMYFUNCTION("""COMPUTED_VALUE"""),14.09939)</f>
        <v>14.09939</v>
      </c>
      <c r="D178" s="4" t="str">
        <f>IFERROR(__xludf.DUMMYFUNCTION("""COMPUTED_VALUE"""),"Dawei")</f>
        <v>Dawei</v>
      </c>
      <c r="E178" s="10">
        <f>IFERROR(__xludf.DUMMYFUNCTION("""COMPUTED_VALUE"""),43154.0)</f>
        <v>43154</v>
      </c>
    </row>
    <row r="179">
      <c r="A179" s="4" t="str">
        <f>IFERROR(__xludf.DUMMYFUNCTION("""COMPUTED_VALUE"""),"TNI0258")</f>
        <v>TNI0258</v>
      </c>
      <c r="B179" s="38">
        <f>IFERROR(__xludf.DUMMYFUNCTION("""COMPUTED_VALUE"""),98.60975)</f>
        <v>98.60975</v>
      </c>
      <c r="C179" s="38">
        <f>IFERROR(__xludf.DUMMYFUNCTION("""COMPUTED_VALUE"""),12.4292)</f>
        <v>12.4292</v>
      </c>
      <c r="D179" s="4" t="str">
        <f>IFERROR(__xludf.DUMMYFUNCTION("""COMPUTED_VALUE"""),"Myeik")</f>
        <v>Myeik</v>
      </c>
      <c r="E179" s="10">
        <f>IFERROR(__xludf.DUMMYFUNCTION("""COMPUTED_VALUE"""),43251.0)</f>
        <v>43251</v>
      </c>
    </row>
    <row r="180">
      <c r="A180" s="4" t="str">
        <f>IFERROR(__xludf.DUMMYFUNCTION("""COMPUTED_VALUE"""),"TNI0259")</f>
        <v>TNI0259</v>
      </c>
      <c r="B180" s="38">
        <f>IFERROR(__xludf.DUMMYFUNCTION("""COMPUTED_VALUE"""),98.5448)</f>
        <v>98.5448</v>
      </c>
      <c r="C180" s="38">
        <f>IFERROR(__xludf.DUMMYFUNCTION("""COMPUTED_VALUE"""),9.98947)</f>
        <v>9.98947</v>
      </c>
      <c r="D180" s="4" t="str">
        <f>IFERROR(__xludf.DUMMYFUNCTION("""COMPUTED_VALUE"""),"Kawthoung")</f>
        <v>Kawthoung</v>
      </c>
      <c r="E180" s="10">
        <f>IFERROR(__xludf.DUMMYFUNCTION("""COMPUTED_VALUE"""),43182.0)</f>
        <v>43182</v>
      </c>
    </row>
    <row r="181">
      <c r="A181" s="4" t="str">
        <f>IFERROR(__xludf.DUMMYFUNCTION("""COMPUTED_VALUE"""),"TNI0260")</f>
        <v>TNI0260</v>
      </c>
      <c r="B181" s="38">
        <f>IFERROR(__xludf.DUMMYFUNCTION("""COMPUTED_VALUE"""),98.602345)</f>
        <v>98.602345</v>
      </c>
      <c r="C181" s="38">
        <f>IFERROR(__xludf.DUMMYFUNCTION("""COMPUTED_VALUE"""),12.44642)</f>
        <v>12.44642</v>
      </c>
      <c r="D181" s="4" t="str">
        <f>IFERROR(__xludf.DUMMYFUNCTION("""COMPUTED_VALUE"""),"Myeik")</f>
        <v>Myeik</v>
      </c>
      <c r="E181" s="10">
        <f>IFERROR(__xludf.DUMMYFUNCTION("""COMPUTED_VALUE"""),43210.0)</f>
        <v>43210</v>
      </c>
    </row>
    <row r="182">
      <c r="A182" s="4" t="str">
        <f>IFERROR(__xludf.DUMMYFUNCTION("""COMPUTED_VALUE"""),"TNI0261")</f>
        <v>TNI0261</v>
      </c>
      <c r="B182" s="38">
        <f>IFERROR(__xludf.DUMMYFUNCTION("""COMPUTED_VALUE"""),98.605588)</f>
        <v>98.605588</v>
      </c>
      <c r="C182" s="38">
        <f>IFERROR(__xludf.DUMMYFUNCTION("""COMPUTED_VALUE"""),12.440428)</f>
        <v>12.440428</v>
      </c>
      <c r="D182" s="4" t="str">
        <f>IFERROR(__xludf.DUMMYFUNCTION("""COMPUTED_VALUE"""),"Myeik")</f>
        <v>Myeik</v>
      </c>
      <c r="E182" s="4">
        <f>IFERROR(__xludf.DUMMYFUNCTION("""COMPUTED_VALUE"""),43135.0)</f>
        <v>43135</v>
      </c>
    </row>
    <row r="183">
      <c r="A183" s="4" t="str">
        <f>IFERROR(__xludf.DUMMYFUNCTION("""COMPUTED_VALUE"""),"TNI0262")</f>
        <v>TNI0262</v>
      </c>
      <c r="B183" s="38">
        <f>IFERROR(__xludf.DUMMYFUNCTION("""COMPUTED_VALUE"""),98.603401)</f>
        <v>98.603401</v>
      </c>
      <c r="C183" s="38">
        <f>IFERROR(__xludf.DUMMYFUNCTION("""COMPUTED_VALUE"""),12.434861)</f>
        <v>12.434861</v>
      </c>
      <c r="D183" s="4" t="str">
        <f>IFERROR(__xludf.DUMMYFUNCTION("""COMPUTED_VALUE"""),"Myeik")</f>
        <v>Myeik</v>
      </c>
      <c r="E183" s="10">
        <f>IFERROR(__xludf.DUMMYFUNCTION("""COMPUTED_VALUE"""),43265.0)</f>
        <v>43265</v>
      </c>
    </row>
    <row r="184">
      <c r="A184" s="4" t="str">
        <f>IFERROR(__xludf.DUMMYFUNCTION("""COMPUTED_VALUE"""),"TNI0263")</f>
        <v>TNI0263</v>
      </c>
      <c r="B184" s="38">
        <f>IFERROR(__xludf.DUMMYFUNCTION("""COMPUTED_VALUE"""),98.61202)</f>
        <v>98.61202</v>
      </c>
      <c r="C184" s="38">
        <f>IFERROR(__xludf.DUMMYFUNCTION("""COMPUTED_VALUE"""),12.445094)</f>
        <v>12.445094</v>
      </c>
      <c r="D184" s="4" t="str">
        <f>IFERROR(__xludf.DUMMYFUNCTION("""COMPUTED_VALUE"""),"Myeik")</f>
        <v>Myeik</v>
      </c>
      <c r="E184" s="10">
        <f>IFERROR(__xludf.DUMMYFUNCTION("""COMPUTED_VALUE"""),43212.0)</f>
        <v>43212</v>
      </c>
    </row>
    <row r="185">
      <c r="A185" s="4" t="str">
        <f>IFERROR(__xludf.DUMMYFUNCTION("""COMPUTED_VALUE"""),"TNI0256")</f>
        <v>TNI0256</v>
      </c>
      <c r="B185" s="38">
        <f>IFERROR(__xludf.DUMMYFUNCTION("""COMPUTED_VALUE"""),98.188589)</f>
        <v>98.188589</v>
      </c>
      <c r="C185" s="38">
        <f>IFERROR(__xludf.DUMMYFUNCTION("""COMPUTED_VALUE"""),14.062681)</f>
        <v>14.062681</v>
      </c>
      <c r="D185" s="4" t="str">
        <f>IFERROR(__xludf.DUMMYFUNCTION("""COMPUTED_VALUE"""),"Dawei")</f>
        <v>Dawei</v>
      </c>
      <c r="E185" s="10">
        <f>IFERROR(__xludf.DUMMYFUNCTION("""COMPUTED_VALUE"""),43186.0)</f>
        <v>43186</v>
      </c>
    </row>
    <row r="186">
      <c r="A186" s="4" t="str">
        <f>IFERROR(__xludf.DUMMYFUNCTION("""COMPUTED_VALUE"""),"TNI0257")</f>
        <v>TNI0257</v>
      </c>
      <c r="B186" s="38">
        <f>IFERROR(__xludf.DUMMYFUNCTION("""COMPUTED_VALUE"""),98.201246)</f>
        <v>98.201246</v>
      </c>
      <c r="C186" s="38">
        <f>IFERROR(__xludf.DUMMYFUNCTION("""COMPUTED_VALUE"""),14.079451)</f>
        <v>14.079451</v>
      </c>
      <c r="D186" s="4" t="str">
        <f>IFERROR(__xludf.DUMMYFUNCTION("""COMPUTED_VALUE"""),"Dawei")</f>
        <v>Dawei</v>
      </c>
      <c r="E186" s="10">
        <f>IFERROR(__xludf.DUMMYFUNCTION("""COMPUTED_VALUE"""),43246.0)</f>
        <v>43246</v>
      </c>
    </row>
    <row r="187">
      <c r="A187" s="4" t="str">
        <f>IFERROR(__xludf.DUMMYFUNCTION("""COMPUTED_VALUE"""),"TNI0264")</f>
        <v>TNI0264</v>
      </c>
      <c r="B187" s="38">
        <f>IFERROR(__xludf.DUMMYFUNCTION("""COMPUTED_VALUE"""),98.195465)</f>
        <v>98.195465</v>
      </c>
      <c r="C187" s="38">
        <f>IFERROR(__xludf.DUMMYFUNCTION("""COMPUTED_VALUE"""),14.077118)</f>
        <v>14.077118</v>
      </c>
      <c r="D187" s="4" t="str">
        <f>IFERROR(__xludf.DUMMYFUNCTION("""COMPUTED_VALUE"""),"Dawei")</f>
        <v>Dawei</v>
      </c>
      <c r="E187" s="10">
        <f>IFERROR(__xludf.DUMMYFUNCTION("""COMPUTED_VALUE"""),43243.0)</f>
        <v>43243</v>
      </c>
    </row>
    <row r="188">
      <c r="A188" s="4" t="str">
        <f>IFERROR(__xludf.DUMMYFUNCTION("""COMPUTED_VALUE"""),"TNI0266")</f>
        <v>TNI0266</v>
      </c>
      <c r="B188" s="38">
        <f>IFERROR(__xludf.DUMMYFUNCTION("""COMPUTED_VALUE"""),98.5974)</f>
        <v>98.5974</v>
      </c>
      <c r="C188" s="38">
        <f>IFERROR(__xludf.DUMMYFUNCTION("""COMPUTED_VALUE"""),12.445307)</f>
        <v>12.445307</v>
      </c>
      <c r="D188" s="4" t="str">
        <f>IFERROR(__xludf.DUMMYFUNCTION("""COMPUTED_VALUE"""),"Myeik")</f>
        <v>Myeik</v>
      </c>
      <c r="E188" s="10">
        <f>IFERROR(__xludf.DUMMYFUNCTION("""COMPUTED_VALUE"""),43190.0)</f>
        <v>43190</v>
      </c>
    </row>
    <row r="189">
      <c r="A189" s="4" t="str">
        <f>IFERROR(__xludf.DUMMYFUNCTION("""COMPUTED_VALUE"""),"TNI0267")</f>
        <v>TNI0267</v>
      </c>
      <c r="B189" s="39">
        <f>IFERROR(__xludf.DUMMYFUNCTION("""COMPUTED_VALUE"""),98.614883)</f>
        <v>98.614883</v>
      </c>
      <c r="C189" s="39">
        <f>IFERROR(__xludf.DUMMYFUNCTION("""COMPUTED_VALUE"""),12.421606)</f>
        <v>12.421606</v>
      </c>
      <c r="D189" s="4" t="str">
        <f>IFERROR(__xludf.DUMMYFUNCTION("""COMPUTED_VALUE"""),"Myeik")</f>
        <v>Myeik</v>
      </c>
      <c r="E189" s="4">
        <f>IFERROR(__xludf.DUMMYFUNCTION("""COMPUTED_VALUE"""),43438.0)</f>
        <v>43438</v>
      </c>
    </row>
    <row r="190">
      <c r="A190" s="4" t="str">
        <f>IFERROR(__xludf.DUMMYFUNCTION("""COMPUTED_VALUE"""),"TNI0268")</f>
        <v>TNI0268</v>
      </c>
      <c r="B190" s="38">
        <f>IFERROR(__xludf.DUMMYFUNCTION("""COMPUTED_VALUE"""),98.6116)</f>
        <v>98.6116</v>
      </c>
      <c r="C190" s="38">
        <f>IFERROR(__xludf.DUMMYFUNCTION("""COMPUTED_VALUE"""),12.4379)</f>
        <v>12.4379</v>
      </c>
      <c r="D190" s="4" t="str">
        <f>IFERROR(__xludf.DUMMYFUNCTION("""COMPUTED_VALUE"""),"Myeik")</f>
        <v>Myeik</v>
      </c>
      <c r="E190" s="10">
        <f>IFERROR(__xludf.DUMMYFUNCTION("""COMPUTED_VALUE"""),43218.0)</f>
        <v>43218</v>
      </c>
    </row>
    <row r="191">
      <c r="A191" s="4" t="str">
        <f>IFERROR(__xludf.DUMMYFUNCTION("""COMPUTED_VALUE"""),"TNI0269")</f>
        <v>TNI0269</v>
      </c>
      <c r="B191" s="38">
        <f>IFERROR(__xludf.DUMMYFUNCTION("""COMPUTED_VALUE"""),98.601326)</f>
        <v>98.601326</v>
      </c>
      <c r="C191" s="38">
        <f>IFERROR(__xludf.DUMMYFUNCTION("""COMPUTED_VALUE"""),12.427273)</f>
        <v>12.427273</v>
      </c>
      <c r="D191" s="4" t="str">
        <f>IFERROR(__xludf.DUMMYFUNCTION("""COMPUTED_VALUE"""),"Myeik")</f>
        <v>Myeik</v>
      </c>
      <c r="E191" s="10">
        <f>IFERROR(__xludf.DUMMYFUNCTION("""COMPUTED_VALUE"""),43178.0)</f>
        <v>43178</v>
      </c>
    </row>
    <row r="192">
      <c r="A192" s="4" t="str">
        <f>IFERROR(__xludf.DUMMYFUNCTION("""COMPUTED_VALUE"""),"TNI0270")</f>
        <v>TNI0270</v>
      </c>
      <c r="B192" s="38">
        <f>IFERROR(__xludf.DUMMYFUNCTION("""COMPUTED_VALUE"""),98.59599)</f>
        <v>98.59599</v>
      </c>
      <c r="C192" s="38">
        <f>IFERROR(__xludf.DUMMYFUNCTION("""COMPUTED_VALUE"""),12.44186)</f>
        <v>12.44186</v>
      </c>
      <c r="D192" s="4" t="str">
        <f>IFERROR(__xludf.DUMMYFUNCTION("""COMPUTED_VALUE"""),"Myeik")</f>
        <v>Myeik</v>
      </c>
      <c r="E192" s="10">
        <f>IFERROR(__xludf.DUMMYFUNCTION("""COMPUTED_VALUE"""),43187.0)</f>
        <v>43187</v>
      </c>
    </row>
    <row r="193">
      <c r="A193" s="4" t="str">
        <f>IFERROR(__xludf.DUMMYFUNCTION("""COMPUTED_VALUE"""),"TNI0264_01")</f>
        <v>TNI0264_01</v>
      </c>
      <c r="B193" s="38">
        <f>IFERROR(__xludf.DUMMYFUNCTION("""COMPUTED_VALUE"""),98.193114)</f>
        <v>98.193114</v>
      </c>
      <c r="C193" s="38">
        <f>IFERROR(__xludf.DUMMYFUNCTION("""COMPUTED_VALUE"""),14.077611)</f>
        <v>14.077611</v>
      </c>
      <c r="D193" s="4" t="str">
        <f>IFERROR(__xludf.DUMMYFUNCTION("""COMPUTED_VALUE"""),"Dawei")</f>
        <v>Dawei</v>
      </c>
      <c r="E193" s="10">
        <f>IFERROR(__xludf.DUMMYFUNCTION("""COMPUTED_VALUE"""),44102.0)</f>
        <v>44102</v>
      </c>
    </row>
    <row r="194">
      <c r="A194" s="4" t="str">
        <f>IFERROR(__xludf.DUMMYFUNCTION("""COMPUTED_VALUE"""),"TNI0265")</f>
        <v>TNI0265</v>
      </c>
      <c r="B194" s="38">
        <f>IFERROR(__xludf.DUMMYFUNCTION("""COMPUTED_VALUE"""),98.193497)</f>
        <v>98.193497</v>
      </c>
      <c r="C194" s="38">
        <f>IFERROR(__xludf.DUMMYFUNCTION("""COMPUTED_VALUE"""),14.065521)</f>
        <v>14.065521</v>
      </c>
      <c r="D194" s="4" t="str">
        <f>IFERROR(__xludf.DUMMYFUNCTION("""COMPUTED_VALUE"""),"Dawei")</f>
        <v>Dawei</v>
      </c>
      <c r="E194" s="10">
        <f>IFERROR(__xludf.DUMMYFUNCTION("""COMPUTED_VALUE"""),43430.0)</f>
        <v>43430</v>
      </c>
    </row>
    <row r="195">
      <c r="A195" s="4" t="str">
        <f>IFERROR(__xludf.DUMMYFUNCTION("""COMPUTED_VALUE"""),"TNI0271")</f>
        <v>TNI0271</v>
      </c>
      <c r="B195" s="38">
        <f>IFERROR(__xludf.DUMMYFUNCTION("""COMPUTED_VALUE"""),98.19883)</f>
        <v>98.19883</v>
      </c>
      <c r="C195" s="38">
        <f>IFERROR(__xludf.DUMMYFUNCTION("""COMPUTED_VALUE"""),14.07005)</f>
        <v>14.07005</v>
      </c>
      <c r="D195" s="4" t="str">
        <f>IFERROR(__xludf.DUMMYFUNCTION("""COMPUTED_VALUE"""),"Dawei")</f>
        <v>Dawei</v>
      </c>
      <c r="E195" s="10">
        <f>IFERROR(__xludf.DUMMYFUNCTION("""COMPUTED_VALUE"""),43155.0)</f>
        <v>43155</v>
      </c>
    </row>
    <row r="196">
      <c r="A196" s="4" t="str">
        <f>IFERROR(__xludf.DUMMYFUNCTION("""COMPUTED_VALUE"""),"TNI0272")</f>
        <v>TNI0272</v>
      </c>
      <c r="B196" s="38">
        <f>IFERROR(__xludf.DUMMYFUNCTION("""COMPUTED_VALUE"""),98.221121)</f>
        <v>98.221121</v>
      </c>
      <c r="C196" s="38">
        <f>IFERROR(__xludf.DUMMYFUNCTION("""COMPUTED_VALUE"""),14.13016)</f>
        <v>14.13016</v>
      </c>
      <c r="D196" s="4" t="str">
        <f>IFERROR(__xludf.DUMMYFUNCTION("""COMPUTED_VALUE"""),"Dawei")</f>
        <v>Dawei</v>
      </c>
      <c r="E196" s="10">
        <f>IFERROR(__xludf.DUMMYFUNCTION("""COMPUTED_VALUE"""),43207.0)</f>
        <v>43207</v>
      </c>
    </row>
    <row r="197">
      <c r="A197" s="4" t="str">
        <f>IFERROR(__xludf.DUMMYFUNCTION("""COMPUTED_VALUE"""),"TNI0277")</f>
        <v>TNI0277</v>
      </c>
      <c r="B197" s="38">
        <f>IFERROR(__xludf.DUMMYFUNCTION("""COMPUTED_VALUE"""),98.70018)</f>
        <v>98.70018</v>
      </c>
      <c r="C197" s="38">
        <f>IFERROR(__xludf.DUMMYFUNCTION("""COMPUTED_VALUE"""),12.52982)</f>
        <v>12.52982</v>
      </c>
      <c r="D197" s="4" t="str">
        <f>IFERROR(__xludf.DUMMYFUNCTION("""COMPUTED_VALUE"""),"Myeik")</f>
        <v>Myeik</v>
      </c>
      <c r="E197" s="4">
        <f>IFERROR(__xludf.DUMMYFUNCTION("""COMPUTED_VALUE"""),43105.0)</f>
        <v>43105</v>
      </c>
    </row>
    <row r="198">
      <c r="A198" s="4" t="str">
        <f>IFERROR(__xludf.DUMMYFUNCTION("""COMPUTED_VALUE"""),"TNI0273")</f>
        <v>TNI0273</v>
      </c>
      <c r="B198" s="38">
        <f>IFERROR(__xludf.DUMMYFUNCTION("""COMPUTED_VALUE"""),98.271269)</f>
        <v>98.271269</v>
      </c>
      <c r="C198" s="38">
        <f>IFERROR(__xludf.DUMMYFUNCTION("""COMPUTED_VALUE"""),13.794873)</f>
        <v>13.794873</v>
      </c>
      <c r="D198" s="4" t="str">
        <f>IFERROR(__xludf.DUMMYFUNCTION("""COMPUTED_VALUE"""),"Thayetchaung")</f>
        <v>Thayetchaung</v>
      </c>
      <c r="E198" s="4">
        <f>IFERROR(__xludf.DUMMYFUNCTION("""COMPUTED_VALUE"""),43195.0)</f>
        <v>43195</v>
      </c>
    </row>
    <row r="199">
      <c r="A199" s="4" t="str">
        <f>IFERROR(__xludf.DUMMYFUNCTION("""COMPUTED_VALUE"""),"TNI0279")</f>
        <v>TNI0279</v>
      </c>
      <c r="B199" s="38">
        <f>IFERROR(__xludf.DUMMYFUNCTION("""COMPUTED_VALUE"""),98.75936)</f>
        <v>98.75936</v>
      </c>
      <c r="C199" s="38">
        <f>IFERROR(__xludf.DUMMYFUNCTION("""COMPUTED_VALUE"""),12.52736)</f>
        <v>12.52736</v>
      </c>
      <c r="D199" s="4" t="str">
        <f>IFERROR(__xludf.DUMMYFUNCTION("""COMPUTED_VALUE"""),"Myeik")</f>
        <v>Myeik</v>
      </c>
      <c r="E199" s="4">
        <f>IFERROR(__xludf.DUMMYFUNCTION("""COMPUTED_VALUE"""),43438.0)</f>
        <v>43438</v>
      </c>
    </row>
    <row r="200">
      <c r="A200" s="4" t="str">
        <f>IFERROR(__xludf.DUMMYFUNCTION("""COMPUTED_VALUE"""),"TNI0280")</f>
        <v>TNI0280</v>
      </c>
      <c r="B200" s="38">
        <f>IFERROR(__xludf.DUMMYFUNCTION("""COMPUTED_VALUE"""),98.8155)</f>
        <v>98.8155</v>
      </c>
      <c r="C200" s="38">
        <f>IFERROR(__xludf.DUMMYFUNCTION("""COMPUTED_VALUE"""),12.57491)</f>
        <v>12.57491</v>
      </c>
      <c r="D200" s="4" t="str">
        <f>IFERROR(__xludf.DUMMYFUNCTION("""COMPUTED_VALUE"""),"Myeik")</f>
        <v>Myeik</v>
      </c>
      <c r="E200" s="4">
        <f>IFERROR(__xludf.DUMMYFUNCTION("""COMPUTED_VALUE"""),43437.0)</f>
        <v>43437</v>
      </c>
    </row>
    <row r="201">
      <c r="A201" s="4" t="str">
        <f>IFERROR(__xludf.DUMMYFUNCTION("""COMPUTED_VALUE"""),"TNI0281")</f>
        <v>TNI0281</v>
      </c>
      <c r="B201" s="38">
        <f>IFERROR(__xludf.DUMMYFUNCTION("""COMPUTED_VALUE"""),98.79826)</f>
        <v>98.79826</v>
      </c>
      <c r="C201" s="38">
        <f>IFERROR(__xludf.DUMMYFUNCTION("""COMPUTED_VALUE"""),12.64954)</f>
        <v>12.64954</v>
      </c>
      <c r="D201" s="4" t="str">
        <f>IFERROR(__xludf.DUMMYFUNCTION("""COMPUTED_VALUE"""),"Myeik")</f>
        <v>Myeik</v>
      </c>
      <c r="E201" s="4">
        <f>IFERROR(__xludf.DUMMYFUNCTION("""COMPUTED_VALUE"""),43407.0)</f>
        <v>43407</v>
      </c>
    </row>
    <row r="202">
      <c r="A202" s="4" t="str">
        <f>IFERROR(__xludf.DUMMYFUNCTION("""COMPUTED_VALUE"""),"TNI0282")</f>
        <v>TNI0282</v>
      </c>
      <c r="B202" s="38">
        <f>IFERROR(__xludf.DUMMYFUNCTION("""COMPUTED_VALUE"""),98.59211)</f>
        <v>98.59211</v>
      </c>
      <c r="C202" s="38">
        <f>IFERROR(__xludf.DUMMYFUNCTION("""COMPUTED_VALUE"""),10.14715)</f>
        <v>10.14715</v>
      </c>
      <c r="D202" s="4" t="str">
        <f>IFERROR(__xludf.DUMMYFUNCTION("""COMPUTED_VALUE"""),"Kawthoung")</f>
        <v>Kawthoung</v>
      </c>
      <c r="E202" s="10">
        <f>IFERROR(__xludf.DUMMYFUNCTION("""COMPUTED_VALUE"""),43184.0)</f>
        <v>43184</v>
      </c>
    </row>
    <row r="203">
      <c r="A203" s="4" t="str">
        <f>IFERROR(__xludf.DUMMYFUNCTION("""COMPUTED_VALUE"""),"TNI0275")</f>
        <v>TNI0275</v>
      </c>
      <c r="B203" s="38">
        <f>IFERROR(__xludf.DUMMYFUNCTION("""COMPUTED_VALUE"""),98.24098)</f>
        <v>98.24098</v>
      </c>
      <c r="C203" s="38">
        <f>IFERROR(__xludf.DUMMYFUNCTION("""COMPUTED_VALUE"""),14.0101)</f>
        <v>14.0101</v>
      </c>
      <c r="D203" s="4" t="str">
        <f>IFERROR(__xludf.DUMMYFUNCTION("""COMPUTED_VALUE"""),"Dawei")</f>
        <v>Dawei</v>
      </c>
      <c r="E203" s="4">
        <f>IFERROR(__xludf.DUMMYFUNCTION("""COMPUTED_VALUE"""),43315.0)</f>
        <v>43315</v>
      </c>
    </row>
    <row r="204">
      <c r="A204" s="4" t="str">
        <f>IFERROR(__xludf.DUMMYFUNCTION("""COMPUTED_VALUE"""),"TNI0278")</f>
        <v>TNI0278</v>
      </c>
      <c r="B204" s="38">
        <f>IFERROR(__xludf.DUMMYFUNCTION("""COMPUTED_VALUE"""),98.222801)</f>
        <v>98.222801</v>
      </c>
      <c r="C204" s="38">
        <f>IFERROR(__xludf.DUMMYFUNCTION("""COMPUTED_VALUE"""),14.037025)</f>
        <v>14.037025</v>
      </c>
      <c r="D204" s="4" t="str">
        <f>IFERROR(__xludf.DUMMYFUNCTION("""COMPUTED_VALUE"""),"Dawei")</f>
        <v>Dawei</v>
      </c>
      <c r="E204" s="10">
        <f>IFERROR(__xludf.DUMMYFUNCTION("""COMPUTED_VALUE"""),43251.0)</f>
        <v>43251</v>
      </c>
    </row>
    <row r="205">
      <c r="A205" s="4" t="str">
        <f>IFERROR(__xludf.DUMMYFUNCTION("""COMPUTED_VALUE"""),"TNI0283")</f>
        <v>TNI0283</v>
      </c>
      <c r="B205" s="38">
        <f>IFERROR(__xludf.DUMMYFUNCTION("""COMPUTED_VALUE"""),98.07822)</f>
        <v>98.07822</v>
      </c>
      <c r="C205" s="38">
        <f>IFERROR(__xludf.DUMMYFUNCTION("""COMPUTED_VALUE"""),14.77953)</f>
        <v>14.77953</v>
      </c>
      <c r="D205" s="4" t="str">
        <f>IFERROR(__xludf.DUMMYFUNCTION("""COMPUTED_VALUE"""),"Yebyu")</f>
        <v>Yebyu</v>
      </c>
      <c r="E205" s="4">
        <f>IFERROR(__xludf.DUMMYFUNCTION("""COMPUTED_VALUE"""),43196.0)</f>
        <v>43196</v>
      </c>
    </row>
    <row r="206">
      <c r="A206" s="4" t="str">
        <f>IFERROR(__xludf.DUMMYFUNCTION("""COMPUTED_VALUE"""),"TNI0289")</f>
        <v>TNI0289</v>
      </c>
      <c r="B206" s="38">
        <f>IFERROR(__xludf.DUMMYFUNCTION("""COMPUTED_VALUE"""),98.45071)</f>
        <v>98.45071</v>
      </c>
      <c r="C206" s="38">
        <f>IFERROR(__xludf.DUMMYFUNCTION("""COMPUTED_VALUE"""),13.51381)</f>
        <v>13.51381</v>
      </c>
      <c r="D206" s="4" t="str">
        <f>IFERROR(__xludf.DUMMYFUNCTION("""COMPUTED_VALUE"""),"Thayetchaung")</f>
        <v>Thayetchaung</v>
      </c>
      <c r="E206" s="10">
        <f>IFERROR(__xludf.DUMMYFUNCTION("""COMPUTED_VALUE"""),43177.0)</f>
        <v>43177</v>
      </c>
    </row>
    <row r="207">
      <c r="A207" s="4" t="str">
        <f>IFERROR(__xludf.DUMMYFUNCTION("""COMPUTED_VALUE"""),"TNI0290")</f>
        <v>TNI0290</v>
      </c>
      <c r="B207" s="38">
        <f>IFERROR(__xludf.DUMMYFUNCTION("""COMPUTED_VALUE"""),98.57166)</f>
        <v>98.57166</v>
      </c>
      <c r="C207" s="38">
        <f>IFERROR(__xludf.DUMMYFUNCTION("""COMPUTED_VALUE"""),13.30473)</f>
        <v>13.30473</v>
      </c>
      <c r="D207" s="4" t="str">
        <f>IFERROR(__xludf.DUMMYFUNCTION("""COMPUTED_VALUE"""),"Palaw")</f>
        <v>Palaw</v>
      </c>
      <c r="E207" s="4">
        <f>IFERROR(__xludf.DUMMYFUNCTION("""COMPUTED_VALUE"""),43317.0)</f>
        <v>43317</v>
      </c>
    </row>
    <row r="208">
      <c r="A208" s="4" t="str">
        <f>IFERROR(__xludf.DUMMYFUNCTION("""COMPUTED_VALUE"""),"TNI0291")</f>
        <v>TNI0291</v>
      </c>
      <c r="B208" s="38">
        <f>IFERROR(__xludf.DUMMYFUNCTION("""COMPUTED_VALUE"""),98.632099)</f>
        <v>98.632099</v>
      </c>
      <c r="C208" s="38">
        <f>IFERROR(__xludf.DUMMYFUNCTION("""COMPUTED_VALUE"""),13.054539)</f>
        <v>13.054539</v>
      </c>
      <c r="D208" s="4" t="str">
        <f>IFERROR(__xludf.DUMMYFUNCTION("""COMPUTED_VALUE"""),"Palaw")</f>
        <v>Palaw</v>
      </c>
      <c r="E208" s="10">
        <f>IFERROR(__xludf.DUMMYFUNCTION("""COMPUTED_VALUE"""),45506.0)</f>
        <v>45506</v>
      </c>
    </row>
    <row r="209">
      <c r="A209" s="4" t="str">
        <f>IFERROR(__xludf.DUMMYFUNCTION("""COMPUTED_VALUE"""),"TNI0294")</f>
        <v>TNI0294</v>
      </c>
      <c r="B209" s="38">
        <f>IFERROR(__xludf.DUMMYFUNCTION("""COMPUTED_VALUE"""),98.607102)</f>
        <v>98.607102</v>
      </c>
      <c r="C209" s="38">
        <f>IFERROR(__xludf.DUMMYFUNCTION("""COMPUTED_VALUE"""),12.448195)</f>
        <v>12.448195</v>
      </c>
      <c r="D209" s="4" t="str">
        <f>IFERROR(__xludf.DUMMYFUNCTION("""COMPUTED_VALUE"""),"Myeik")</f>
        <v>Myeik</v>
      </c>
      <c r="E209" s="10">
        <f>IFERROR(__xludf.DUMMYFUNCTION("""COMPUTED_VALUE"""),43673.0)</f>
        <v>43673</v>
      </c>
    </row>
    <row r="210">
      <c r="A210" s="4" t="str">
        <f>IFERROR(__xludf.DUMMYFUNCTION("""COMPUTED_VALUE"""),"TNI0295")</f>
        <v>TNI0295</v>
      </c>
      <c r="B210" s="39">
        <f>IFERROR(__xludf.DUMMYFUNCTION("""COMPUTED_VALUE"""),98.61568)</f>
        <v>98.61568</v>
      </c>
      <c r="C210" s="39">
        <f>IFERROR(__xludf.DUMMYFUNCTION("""COMPUTED_VALUE"""),10.409308)</f>
        <v>10.409308</v>
      </c>
      <c r="D210" s="4" t="str">
        <f>IFERROR(__xludf.DUMMYFUNCTION("""COMPUTED_VALUE"""),"Kawthoung")</f>
        <v>Kawthoung</v>
      </c>
      <c r="E210" s="10">
        <f>IFERROR(__xludf.DUMMYFUNCTION("""COMPUTED_VALUE"""),43616.0)</f>
        <v>43616</v>
      </c>
    </row>
    <row r="211">
      <c r="A211" s="4" t="str">
        <f>IFERROR(__xludf.DUMMYFUNCTION("""COMPUTED_VALUE"""),"TNI0284")</f>
        <v>TNI0284</v>
      </c>
      <c r="B211" s="38">
        <f>IFERROR(__xludf.DUMMYFUNCTION("""COMPUTED_VALUE"""),98.183621)</f>
        <v>98.183621</v>
      </c>
      <c r="C211" s="38">
        <f>IFERROR(__xludf.DUMMYFUNCTION("""COMPUTED_VALUE"""),14.549636)</f>
        <v>14.549636</v>
      </c>
      <c r="D211" s="4" t="str">
        <f>IFERROR(__xludf.DUMMYFUNCTION("""COMPUTED_VALUE"""),"Yebyu")</f>
        <v>Yebyu</v>
      </c>
      <c r="E211" s="10">
        <f>IFERROR(__xludf.DUMMYFUNCTION("""COMPUTED_VALUE"""),43524.0)</f>
        <v>43524</v>
      </c>
    </row>
    <row r="212">
      <c r="A212" s="4" t="str">
        <f>IFERROR(__xludf.DUMMYFUNCTION("""COMPUTED_VALUE"""),"TNI0288")</f>
        <v>TNI0288</v>
      </c>
      <c r="B212" s="42">
        <f>IFERROR(__xludf.DUMMYFUNCTION("""COMPUTED_VALUE"""),98.29805)</f>
        <v>98.29805</v>
      </c>
      <c r="C212" s="39">
        <f>IFERROR(__xludf.DUMMYFUNCTION("""COMPUTED_VALUE"""),13.74324)</f>
        <v>13.74324</v>
      </c>
      <c r="D212" s="4" t="str">
        <f>IFERROR(__xludf.DUMMYFUNCTION("""COMPUTED_VALUE"""),"Thayetchaung")</f>
        <v>Thayetchaung</v>
      </c>
      <c r="E212" s="10">
        <f>IFERROR(__xludf.DUMMYFUNCTION("""COMPUTED_VALUE"""),43181.0)</f>
        <v>43181</v>
      </c>
    </row>
    <row r="213">
      <c r="A213" s="4" t="str">
        <f>IFERROR(__xludf.DUMMYFUNCTION("""COMPUTED_VALUE"""),"TNI0308")</f>
        <v>TNI0308</v>
      </c>
      <c r="B213" s="38">
        <f>IFERROR(__xludf.DUMMYFUNCTION("""COMPUTED_VALUE"""),98.828285)</f>
        <v>98.828285</v>
      </c>
      <c r="C213" s="38">
        <f>IFERROR(__xludf.DUMMYFUNCTION("""COMPUTED_VALUE"""),12.311042)</f>
        <v>12.311042</v>
      </c>
      <c r="D213" s="4" t="str">
        <f>IFERROR(__xludf.DUMMYFUNCTION("""COMPUTED_VALUE"""),"Myeik")</f>
        <v>Myeik</v>
      </c>
      <c r="E213" s="10">
        <f>IFERROR(__xludf.DUMMYFUNCTION("""COMPUTED_VALUE"""),44377.0)</f>
        <v>44377</v>
      </c>
    </row>
    <row r="214">
      <c r="A214" s="4" t="str">
        <f>IFERROR(__xludf.DUMMYFUNCTION("""COMPUTED_VALUE"""),"TNI0305")</f>
        <v>TNI0305</v>
      </c>
      <c r="B214" s="38">
        <f>IFERROR(__xludf.DUMMYFUNCTION("""COMPUTED_VALUE"""),98.141376)</f>
        <v>98.141376</v>
      </c>
      <c r="C214" s="38">
        <f>IFERROR(__xludf.DUMMYFUNCTION("""COMPUTED_VALUE"""),13.919092)</f>
        <v>13.919092</v>
      </c>
      <c r="D214" s="4" t="str">
        <f>IFERROR(__xludf.DUMMYFUNCTION("""COMPUTED_VALUE"""),"Launglon")</f>
        <v>Launglon</v>
      </c>
      <c r="E214" s="10">
        <f>IFERROR(__xludf.DUMMYFUNCTION("""COMPUTED_VALUE"""),43735.0)</f>
        <v>43735</v>
      </c>
    </row>
    <row r="215">
      <c r="A215" s="4" t="str">
        <f>IFERROR(__xludf.DUMMYFUNCTION("""COMPUTED_VALUE"""),"TNI0310")</f>
        <v>TNI0310</v>
      </c>
      <c r="B215" s="38">
        <f>IFERROR(__xludf.DUMMYFUNCTION("""COMPUTED_VALUE"""),98.761003)</f>
        <v>98.761003</v>
      </c>
      <c r="C215" s="38">
        <f>IFERROR(__xludf.DUMMYFUNCTION("""COMPUTED_VALUE"""),11.229401)</f>
        <v>11.229401</v>
      </c>
      <c r="D215" s="4" t="str">
        <f>IFERROR(__xludf.DUMMYFUNCTION("""COMPUTED_VALUE"""),"Bokpyin")</f>
        <v>Bokpyin</v>
      </c>
      <c r="E215" s="4">
        <f>IFERROR(__xludf.DUMMYFUNCTION("""COMPUTED_VALUE"""),44169.0)</f>
        <v>44169</v>
      </c>
    </row>
    <row r="216">
      <c r="A216" s="4" t="str">
        <f>IFERROR(__xludf.DUMMYFUNCTION("""COMPUTED_VALUE"""),"TNI0311")</f>
        <v>TNI0311</v>
      </c>
      <c r="B216" s="38">
        <f>IFERROR(__xludf.DUMMYFUNCTION("""COMPUTED_VALUE"""),98.75211)</f>
        <v>98.75211</v>
      </c>
      <c r="C216" s="38">
        <f>IFERROR(__xludf.DUMMYFUNCTION("""COMPUTED_VALUE"""),10.93655)</f>
        <v>10.93655</v>
      </c>
      <c r="D216" s="4" t="str">
        <f>IFERROR(__xludf.DUMMYFUNCTION("""COMPUTED_VALUE"""),"Bokpyin")</f>
        <v>Bokpyin</v>
      </c>
      <c r="E216" s="10">
        <f>IFERROR(__xludf.DUMMYFUNCTION("""COMPUTED_VALUE"""),44000.0)</f>
        <v>44000</v>
      </c>
    </row>
    <row r="217">
      <c r="A217" s="4" t="str">
        <f>IFERROR(__xludf.DUMMYFUNCTION("""COMPUTED_VALUE"""),"TNI0306")</f>
        <v>TNI0306</v>
      </c>
      <c r="B217" s="38">
        <f>IFERROR(__xludf.DUMMYFUNCTION("""COMPUTED_VALUE"""),98.127328)</f>
        <v>98.127328</v>
      </c>
      <c r="C217" s="38">
        <f>IFERROR(__xludf.DUMMYFUNCTION("""COMPUTED_VALUE"""),13.942658)</f>
        <v>13.942658</v>
      </c>
      <c r="D217" s="4" t="str">
        <f>IFERROR(__xludf.DUMMYFUNCTION("""COMPUTED_VALUE"""),"Launglon")</f>
        <v>Launglon</v>
      </c>
      <c r="E217" s="10">
        <f>IFERROR(__xludf.DUMMYFUNCTION("""COMPUTED_VALUE"""),43733.0)</f>
        <v>43733</v>
      </c>
    </row>
    <row r="218">
      <c r="A218" s="4" t="str">
        <f>IFERROR(__xludf.DUMMYFUNCTION("""COMPUTED_VALUE"""),"TNI0309")</f>
        <v>TNI0309</v>
      </c>
      <c r="B218" s="38">
        <f>IFERROR(__xludf.DUMMYFUNCTION("""COMPUTED_VALUE"""),98.35678)</f>
        <v>98.35678</v>
      </c>
      <c r="C218" s="38">
        <f>IFERROR(__xludf.DUMMYFUNCTION("""COMPUTED_VALUE"""),13.735522)</f>
        <v>13.735522</v>
      </c>
      <c r="D218" s="4" t="str">
        <f>IFERROR(__xludf.DUMMYFUNCTION("""COMPUTED_VALUE"""),"Thayetchaung")</f>
        <v>Thayetchaung</v>
      </c>
      <c r="E218" s="10">
        <f>IFERROR(__xludf.DUMMYFUNCTION("""COMPUTED_VALUE"""),43827.0)</f>
        <v>43827</v>
      </c>
    </row>
    <row r="219">
      <c r="A219" s="4" t="str">
        <f>IFERROR(__xludf.DUMMYFUNCTION("""COMPUTED_VALUE"""),"TNI0312")</f>
        <v>TNI0312</v>
      </c>
      <c r="B219" s="38">
        <f>IFERROR(__xludf.DUMMYFUNCTION("""COMPUTED_VALUE"""),98.22569)</f>
        <v>98.22569</v>
      </c>
      <c r="C219" s="38">
        <f>IFERROR(__xludf.DUMMYFUNCTION("""COMPUTED_VALUE"""),14.284033)</f>
        <v>14.284033</v>
      </c>
      <c r="D219" s="4" t="str">
        <f>IFERROR(__xludf.DUMMYFUNCTION("""COMPUTED_VALUE"""),"Yebyu")</f>
        <v>Yebyu</v>
      </c>
      <c r="E219" s="4">
        <f>IFERROR(__xludf.DUMMYFUNCTION("""COMPUTED_VALUE"""),43986.0)</f>
        <v>43986</v>
      </c>
    </row>
    <row r="220">
      <c r="A220" s="4" t="str">
        <f>IFERROR(__xludf.DUMMYFUNCTION("""COMPUTED_VALUE"""),"TNI0314")</f>
        <v>TNI0314</v>
      </c>
      <c r="B220" s="38">
        <f>IFERROR(__xludf.DUMMYFUNCTION("""COMPUTED_VALUE"""),98.012137)</f>
        <v>98.012137</v>
      </c>
      <c r="C220" s="38">
        <f>IFERROR(__xludf.DUMMYFUNCTION("""COMPUTED_VALUE"""),14.346667)</f>
        <v>14.346667</v>
      </c>
      <c r="D220" s="4" t="str">
        <f>IFERROR(__xludf.DUMMYFUNCTION("""COMPUTED_VALUE"""),"Yebyu")</f>
        <v>Yebyu</v>
      </c>
      <c r="E220" s="10">
        <f>IFERROR(__xludf.DUMMYFUNCTION("""COMPUTED_VALUE"""),43970.0)</f>
        <v>43970</v>
      </c>
    </row>
    <row r="221">
      <c r="A221" s="4" t="str">
        <f>IFERROR(__xludf.DUMMYFUNCTION("""COMPUTED_VALUE"""),"TNI0316")</f>
        <v>TNI0316</v>
      </c>
      <c r="B221" s="38">
        <f>IFERROR(__xludf.DUMMYFUNCTION("""COMPUTED_VALUE"""),98.098689)</f>
        <v>98.098689</v>
      </c>
      <c r="C221" s="38">
        <f>IFERROR(__xludf.DUMMYFUNCTION("""COMPUTED_VALUE"""),14.10025)</f>
        <v>14.10025</v>
      </c>
      <c r="D221" s="4" t="str">
        <f>IFERROR(__xludf.DUMMYFUNCTION("""COMPUTED_VALUE"""),"Launglon")</f>
        <v>Launglon</v>
      </c>
      <c r="E221" s="10">
        <f>IFERROR(__xludf.DUMMYFUNCTION("""COMPUTED_VALUE"""),43634.0)</f>
        <v>43634</v>
      </c>
    </row>
    <row r="222">
      <c r="A222" s="4" t="str">
        <f>IFERROR(__xludf.DUMMYFUNCTION("""COMPUTED_VALUE"""),"TNI0319")</f>
        <v>TNI0319</v>
      </c>
      <c r="B222" s="38">
        <f>IFERROR(__xludf.DUMMYFUNCTION("""COMPUTED_VALUE"""),98.265277)</f>
        <v>98.265277</v>
      </c>
      <c r="C222" s="38">
        <f>IFERROR(__xludf.DUMMYFUNCTION("""COMPUTED_VALUE"""),13.81292)</f>
        <v>13.81292</v>
      </c>
      <c r="D222" s="4" t="str">
        <f>IFERROR(__xludf.DUMMYFUNCTION("""COMPUTED_VALUE"""),"Thayetchaung")</f>
        <v>Thayetchaung</v>
      </c>
      <c r="E222" s="10">
        <f>IFERROR(__xludf.DUMMYFUNCTION("""COMPUTED_VALUE"""),43825.0)</f>
        <v>43825</v>
      </c>
    </row>
    <row r="223">
      <c r="A223" s="4" t="str">
        <f>IFERROR(__xludf.DUMMYFUNCTION("""COMPUTED_VALUE"""),"TNI0323")</f>
        <v>TNI0323</v>
      </c>
      <c r="B223" s="38">
        <f>IFERROR(__xludf.DUMMYFUNCTION("""COMPUTED_VALUE"""),98.68558)</f>
        <v>98.68558</v>
      </c>
      <c r="C223" s="38">
        <f>IFERROR(__xludf.DUMMYFUNCTION("""COMPUTED_VALUE"""),12.904272)</f>
        <v>12.904272</v>
      </c>
      <c r="D223" s="4" t="str">
        <f>IFERROR(__xludf.DUMMYFUNCTION("""COMPUTED_VALUE"""),"Palaw")</f>
        <v>Palaw</v>
      </c>
      <c r="E223" s="4">
        <f>IFERROR(__xludf.DUMMYFUNCTION("""COMPUTED_VALUE"""),45475.69383)</f>
        <v>45475.69383</v>
      </c>
    </row>
    <row r="224">
      <c r="A224" s="4" t="str">
        <f>IFERROR(__xludf.DUMMYFUNCTION("""COMPUTED_VALUE"""),"TNI0324")</f>
        <v>TNI0324</v>
      </c>
      <c r="B224" s="38">
        <f>IFERROR(__xludf.DUMMYFUNCTION("""COMPUTED_VALUE"""),98.782641)</f>
        <v>98.782641</v>
      </c>
      <c r="C224" s="38">
        <f>IFERROR(__xludf.DUMMYFUNCTION("""COMPUTED_VALUE"""),12.356218)</f>
        <v>12.356218</v>
      </c>
      <c r="D224" s="4" t="str">
        <f>IFERROR(__xludf.DUMMYFUNCTION("""COMPUTED_VALUE"""),"Myeik")</f>
        <v>Myeik</v>
      </c>
      <c r="E224" s="10">
        <f>IFERROR(__xludf.DUMMYFUNCTION("""COMPUTED_VALUE"""),43632.0)</f>
        <v>43632</v>
      </c>
    </row>
    <row r="225">
      <c r="A225" s="4" t="str">
        <f>IFERROR(__xludf.DUMMYFUNCTION("""COMPUTED_VALUE"""),"TNI0321")</f>
        <v>TNI0321</v>
      </c>
      <c r="B225" s="38">
        <f>IFERROR(__xludf.DUMMYFUNCTION("""COMPUTED_VALUE"""),98.325586)</f>
        <v>98.325586</v>
      </c>
      <c r="C225" s="38">
        <f>IFERROR(__xludf.DUMMYFUNCTION("""COMPUTED_VALUE"""),13.688814)</f>
        <v>13.688814</v>
      </c>
      <c r="D225" s="4" t="str">
        <f>IFERROR(__xludf.DUMMYFUNCTION("""COMPUTED_VALUE"""),"Thayetchaung")</f>
        <v>Thayetchaung</v>
      </c>
      <c r="E225" s="4">
        <f>IFERROR(__xludf.DUMMYFUNCTION("""COMPUTED_VALUE"""),45520.60106)</f>
        <v>45520.60106</v>
      </c>
    </row>
    <row r="226">
      <c r="A226" s="4" t="str">
        <f>IFERROR(__xludf.DUMMYFUNCTION("""COMPUTED_VALUE"""),"TNI0322")</f>
        <v>TNI0322</v>
      </c>
      <c r="B226" s="38">
        <f>IFERROR(__xludf.DUMMYFUNCTION("""COMPUTED_VALUE"""),98.340985)</f>
        <v>98.340985</v>
      </c>
      <c r="C226" s="38">
        <f>IFERROR(__xludf.DUMMYFUNCTION("""COMPUTED_VALUE"""),13.636234)</f>
        <v>13.636234</v>
      </c>
      <c r="D226" s="4" t="str">
        <f>IFERROR(__xludf.DUMMYFUNCTION("""COMPUTED_VALUE"""),"Thayetchaung")</f>
        <v>Thayetchaung</v>
      </c>
      <c r="E226" s="41">
        <f>IFERROR(__xludf.DUMMYFUNCTION("""COMPUTED_VALUE"""),45384.00436342593)</f>
        <v>45384.00436</v>
      </c>
    </row>
    <row r="227">
      <c r="A227" s="4" t="str">
        <f>IFERROR(__xludf.DUMMYFUNCTION("""COMPUTED_VALUE"""),"TNI0326")</f>
        <v>TNI0326</v>
      </c>
      <c r="B227" s="38">
        <f>IFERROR(__xludf.DUMMYFUNCTION("""COMPUTED_VALUE"""),98.008042)</f>
        <v>98.008042</v>
      </c>
      <c r="C227" s="38">
        <f>IFERROR(__xludf.DUMMYFUNCTION("""COMPUTED_VALUE"""),14.945033)</f>
        <v>14.945033</v>
      </c>
      <c r="D227" s="4" t="str">
        <f>IFERROR(__xludf.DUMMYFUNCTION("""COMPUTED_VALUE"""),"Yebyu")</f>
        <v>Yebyu</v>
      </c>
      <c r="E227" s="4">
        <f>IFERROR(__xludf.DUMMYFUNCTION("""COMPUTED_VALUE"""),45402.74152)</f>
        <v>45402.74152</v>
      </c>
    </row>
    <row r="228">
      <c r="A228" s="4" t="str">
        <f>IFERROR(__xludf.DUMMYFUNCTION("""COMPUTED_VALUE"""),"TNI0328")</f>
        <v>TNI0328</v>
      </c>
      <c r="B228" s="38">
        <f>IFERROR(__xludf.DUMMYFUNCTION("""COMPUTED_VALUE"""),98.094419)</f>
        <v>98.094419</v>
      </c>
      <c r="C228" s="38">
        <f>IFERROR(__xludf.DUMMYFUNCTION("""COMPUTED_VALUE"""),13.94892)</f>
        <v>13.94892</v>
      </c>
      <c r="D228" s="4" t="str">
        <f>IFERROR(__xludf.DUMMYFUNCTION("""COMPUTED_VALUE"""),"Launglon")</f>
        <v>Launglon</v>
      </c>
      <c r="E228" s="10">
        <f>IFERROR(__xludf.DUMMYFUNCTION("""COMPUTED_VALUE"""),43660.0)</f>
        <v>43660</v>
      </c>
    </row>
    <row r="229">
      <c r="A229" s="4" t="str">
        <f>IFERROR(__xludf.DUMMYFUNCTION("""COMPUTED_VALUE"""),"TNI0329")</f>
        <v>TNI0329</v>
      </c>
      <c r="B229" s="38">
        <f>IFERROR(__xludf.DUMMYFUNCTION("""COMPUTED_VALUE"""),98.096576)</f>
        <v>98.096576</v>
      </c>
      <c r="C229" s="38">
        <f>IFERROR(__xludf.DUMMYFUNCTION("""COMPUTED_VALUE"""),13.905293)</f>
        <v>13.905293</v>
      </c>
      <c r="D229" s="4" t="str">
        <f>IFERROR(__xludf.DUMMYFUNCTION("""COMPUTED_VALUE"""),"Launglon")</f>
        <v>Launglon</v>
      </c>
      <c r="E229" s="4">
        <f>IFERROR(__xludf.DUMMYFUNCTION("""COMPUTED_VALUE"""),44925.96877)</f>
        <v>44925.96877</v>
      </c>
    </row>
    <row r="230">
      <c r="A230" s="4" t="str">
        <f>IFERROR(__xludf.DUMMYFUNCTION("""COMPUTED_VALUE"""),"TNI0330")</f>
        <v>TNI0330</v>
      </c>
      <c r="B230" s="38">
        <f>IFERROR(__xludf.DUMMYFUNCTION("""COMPUTED_VALUE"""),97.94973)</f>
        <v>97.94973</v>
      </c>
      <c r="C230" s="38">
        <f>IFERROR(__xludf.DUMMYFUNCTION("""COMPUTED_VALUE"""),15.06089)</f>
        <v>15.06089</v>
      </c>
      <c r="D230" s="4" t="str">
        <f>IFERROR(__xludf.DUMMYFUNCTION("""COMPUTED_VALUE"""),"Yebyu")</f>
        <v>Yebyu</v>
      </c>
      <c r="E230" s="4">
        <f>IFERROR(__xludf.DUMMYFUNCTION("""COMPUTED_VALUE"""),43531.0)</f>
        <v>43531</v>
      </c>
    </row>
    <row r="231">
      <c r="A231" s="4" t="str">
        <f>IFERROR(__xludf.DUMMYFUNCTION("""COMPUTED_VALUE"""),"TNI0331")</f>
        <v>TNI0331</v>
      </c>
      <c r="B231" s="38">
        <f>IFERROR(__xludf.DUMMYFUNCTION("""COMPUTED_VALUE"""),98.11189)</f>
        <v>98.11189</v>
      </c>
      <c r="C231" s="38">
        <f>IFERROR(__xludf.DUMMYFUNCTION("""COMPUTED_VALUE"""),14.70034)</f>
        <v>14.70034</v>
      </c>
      <c r="D231" s="4" t="str">
        <f>IFERROR(__xludf.DUMMYFUNCTION("""COMPUTED_VALUE"""),"Yebyu")</f>
        <v>Yebyu</v>
      </c>
      <c r="E231" s="10">
        <f>IFERROR(__xludf.DUMMYFUNCTION("""COMPUTED_VALUE"""),43737.0)</f>
        <v>43737</v>
      </c>
    </row>
    <row r="232">
      <c r="A232" s="4" t="str">
        <f>IFERROR(__xludf.DUMMYFUNCTION("""COMPUTED_VALUE"""),"TNI0336")</f>
        <v>TNI0336</v>
      </c>
      <c r="B232" s="38">
        <f>IFERROR(__xludf.DUMMYFUNCTION("""COMPUTED_VALUE"""),98.602783)</f>
        <v>98.602783</v>
      </c>
      <c r="C232" s="38">
        <f>IFERROR(__xludf.DUMMYFUNCTION("""COMPUTED_VALUE"""),13.293532)</f>
        <v>13.293532</v>
      </c>
      <c r="D232" s="4" t="str">
        <f>IFERROR(__xludf.DUMMYFUNCTION("""COMPUTED_VALUE"""),"Palaw")</f>
        <v>Palaw</v>
      </c>
      <c r="E232" s="41">
        <f>IFERROR(__xludf.DUMMYFUNCTION("""COMPUTED_VALUE"""),45524.54420138889)</f>
        <v>45524.5442</v>
      </c>
    </row>
    <row r="233">
      <c r="A233" s="4" t="str">
        <f>IFERROR(__xludf.DUMMYFUNCTION("""COMPUTED_VALUE"""),"TNI0337")</f>
        <v>TNI0337</v>
      </c>
      <c r="B233" s="38">
        <f>IFERROR(__xludf.DUMMYFUNCTION("""COMPUTED_VALUE"""),98.58479)</f>
        <v>98.58479</v>
      </c>
      <c r="C233" s="38">
        <f>IFERROR(__xludf.DUMMYFUNCTION("""COMPUTED_VALUE"""),10.06245)</f>
        <v>10.06245</v>
      </c>
      <c r="D233" s="4" t="str">
        <f>IFERROR(__xludf.DUMMYFUNCTION("""COMPUTED_VALUE"""),"Kawthoung")</f>
        <v>Kawthoung</v>
      </c>
      <c r="E233" s="10">
        <f>IFERROR(__xludf.DUMMYFUNCTION("""COMPUTED_VALUE"""),43676.0)</f>
        <v>43676</v>
      </c>
    </row>
    <row r="234">
      <c r="A234" s="4" t="str">
        <f>IFERROR(__xludf.DUMMYFUNCTION("""COMPUTED_VALUE"""),"TNI0339")</f>
        <v>TNI0339</v>
      </c>
      <c r="B234" s="38">
        <f>IFERROR(__xludf.DUMMYFUNCTION("""COMPUTED_VALUE"""),98.672633)</f>
        <v>98.672633</v>
      </c>
      <c r="C234" s="38">
        <f>IFERROR(__xludf.DUMMYFUNCTION("""COMPUTED_VALUE"""),12.930661)</f>
        <v>12.930661</v>
      </c>
      <c r="D234" s="4" t="str">
        <f>IFERROR(__xludf.DUMMYFUNCTION("""COMPUTED_VALUE"""),"Palaw")</f>
        <v>Palaw</v>
      </c>
      <c r="E234" s="4">
        <f>IFERROR(__xludf.DUMMYFUNCTION("""COMPUTED_VALUE"""),43898.0)</f>
        <v>43898</v>
      </c>
    </row>
    <row r="235">
      <c r="A235" s="4" t="str">
        <f>IFERROR(__xludf.DUMMYFUNCTION("""COMPUTED_VALUE"""),"TNI0340")</f>
        <v>TNI0340</v>
      </c>
      <c r="B235" s="38">
        <f>IFERROR(__xludf.DUMMYFUNCTION("""COMPUTED_VALUE"""),98.753994)</f>
        <v>98.753994</v>
      </c>
      <c r="C235" s="38">
        <f>IFERROR(__xludf.DUMMYFUNCTION("""COMPUTED_VALUE"""),11.198016)</f>
        <v>11.198016</v>
      </c>
      <c r="D235" s="4" t="str">
        <f>IFERROR(__xludf.DUMMYFUNCTION("""COMPUTED_VALUE"""),"Bokpyin")</f>
        <v>Bokpyin</v>
      </c>
      <c r="E235" s="10">
        <f>IFERROR(__xludf.DUMMYFUNCTION("""COMPUTED_VALUE"""),43637.0)</f>
        <v>43637</v>
      </c>
    </row>
    <row r="236">
      <c r="A236" s="4" t="str">
        <f>IFERROR(__xludf.DUMMYFUNCTION("""COMPUTED_VALUE"""),"TNI0341")</f>
        <v>TNI0341</v>
      </c>
      <c r="B236" s="39">
        <f>IFERROR(__xludf.DUMMYFUNCTION("""COMPUTED_VALUE"""),99.04895)</f>
        <v>99.04895</v>
      </c>
      <c r="C236" s="39">
        <f>IFERROR(__xludf.DUMMYFUNCTION("""COMPUTED_VALUE"""),11.531733)</f>
        <v>11.531733</v>
      </c>
      <c r="D236" s="4" t="str">
        <f>IFERROR(__xludf.DUMMYFUNCTION("""COMPUTED_VALUE"""),"Bokpyin")</f>
        <v>Bokpyin</v>
      </c>
      <c r="E236" s="10">
        <f>IFERROR(__xludf.DUMMYFUNCTION("""COMPUTED_VALUE"""),43726.0)</f>
        <v>43726</v>
      </c>
    </row>
    <row r="237">
      <c r="A237" s="4" t="str">
        <f>IFERROR(__xludf.DUMMYFUNCTION("""COMPUTED_VALUE"""),"TNI0343")</f>
        <v>TNI0343</v>
      </c>
      <c r="B237" s="38">
        <f>IFERROR(__xludf.DUMMYFUNCTION("""COMPUTED_VALUE"""),98.9469)</f>
        <v>98.9469</v>
      </c>
      <c r="C237" s="38">
        <f>IFERROR(__xludf.DUMMYFUNCTION("""COMPUTED_VALUE"""),11.41931)</f>
        <v>11.41931</v>
      </c>
      <c r="D237" s="4" t="str">
        <f>IFERROR(__xludf.DUMMYFUNCTION("""COMPUTED_VALUE"""),"Bokpyin")</f>
        <v>Bokpyin</v>
      </c>
      <c r="E237" s="10">
        <f>IFERROR(__xludf.DUMMYFUNCTION("""COMPUTED_VALUE"""),43640.0)</f>
        <v>43640</v>
      </c>
    </row>
    <row r="238">
      <c r="A238" s="4" t="str">
        <f>IFERROR(__xludf.DUMMYFUNCTION("""COMPUTED_VALUE"""),"TNI0345")</f>
        <v>TNI0345</v>
      </c>
      <c r="B238" s="38">
        <f>IFERROR(__xludf.DUMMYFUNCTION("""COMPUTED_VALUE"""),98.751824)</f>
        <v>98.751824</v>
      </c>
      <c r="C238" s="38">
        <f>IFERROR(__xludf.DUMMYFUNCTION("""COMPUTED_VALUE"""),11.064117)</f>
        <v>11.064117</v>
      </c>
      <c r="D238" s="4" t="str">
        <f>IFERROR(__xludf.DUMMYFUNCTION("""COMPUTED_VALUE"""),"Bokpyin")</f>
        <v>Bokpyin</v>
      </c>
      <c r="E238" s="10">
        <f>IFERROR(__xludf.DUMMYFUNCTION("""COMPUTED_VALUE"""),43675.0)</f>
        <v>43675</v>
      </c>
    </row>
    <row r="239">
      <c r="A239" s="4" t="str">
        <f>IFERROR(__xludf.DUMMYFUNCTION("""COMPUTED_VALUE"""),"TNI0345_01")</f>
        <v>TNI0345_01</v>
      </c>
      <c r="B239" s="38">
        <f>IFERROR(__xludf.DUMMYFUNCTION("""COMPUTED_VALUE"""),98.7517)</f>
        <v>98.7517</v>
      </c>
      <c r="C239" s="38">
        <f>IFERROR(__xludf.DUMMYFUNCTION("""COMPUTED_VALUE"""),11.064239)</f>
        <v>11.064239</v>
      </c>
      <c r="D239" s="4" t="str">
        <f>IFERROR(__xludf.DUMMYFUNCTION("""COMPUTED_VALUE"""),"Bokpyin")</f>
        <v>Bokpyin</v>
      </c>
      <c r="E239" s="4">
        <f>IFERROR(__xludf.DUMMYFUNCTION("""COMPUTED_VALUE"""),44658.0)</f>
        <v>44658</v>
      </c>
    </row>
    <row r="240">
      <c r="A240" s="4" t="str">
        <f>IFERROR(__xludf.DUMMYFUNCTION("""COMPUTED_VALUE"""),"TNI0346")</f>
        <v>TNI0346</v>
      </c>
      <c r="B240" s="38">
        <f>IFERROR(__xludf.DUMMYFUNCTION("""COMPUTED_VALUE"""),98.722778)</f>
        <v>98.722778</v>
      </c>
      <c r="C240" s="38">
        <f>IFERROR(__xludf.DUMMYFUNCTION("""COMPUTED_VALUE"""),12.523662)</f>
        <v>12.523662</v>
      </c>
      <c r="D240" s="4" t="str">
        <f>IFERROR(__xludf.DUMMYFUNCTION("""COMPUTED_VALUE"""),"Myeik")</f>
        <v>Myeik</v>
      </c>
      <c r="E240" s="10">
        <f>IFERROR(__xludf.DUMMYFUNCTION("""COMPUTED_VALUE"""),43665.0)</f>
        <v>43665</v>
      </c>
    </row>
    <row r="241">
      <c r="A241" s="4" t="str">
        <f>IFERROR(__xludf.DUMMYFUNCTION("""COMPUTED_VALUE"""),"TNI0349")</f>
        <v>TNI0349</v>
      </c>
      <c r="B241" s="38">
        <f>IFERROR(__xludf.DUMMYFUNCTION("""COMPUTED_VALUE"""),98.767265)</f>
        <v>98.767265</v>
      </c>
      <c r="C241" s="38">
        <f>IFERROR(__xludf.DUMMYFUNCTION("""COMPUTED_VALUE"""),12.560562)</f>
        <v>12.560562</v>
      </c>
      <c r="D241" s="4" t="str">
        <f>IFERROR(__xludf.DUMMYFUNCTION("""COMPUTED_VALUE"""),"Myeik")</f>
        <v>Myeik</v>
      </c>
      <c r="E241" s="10">
        <f>IFERROR(__xludf.DUMMYFUNCTION("""COMPUTED_VALUE"""),43706.0)</f>
        <v>43706</v>
      </c>
    </row>
    <row r="242">
      <c r="A242" s="4" t="str">
        <f>IFERROR(__xludf.DUMMYFUNCTION("""COMPUTED_VALUE"""),"TNI0350")</f>
        <v>TNI0350</v>
      </c>
      <c r="B242" s="38">
        <f>IFERROR(__xludf.DUMMYFUNCTION("""COMPUTED_VALUE"""),98.584793)</f>
        <v>98.584793</v>
      </c>
      <c r="C242" s="38">
        <f>IFERROR(__xludf.DUMMYFUNCTION("""COMPUTED_VALUE"""),10.062451)</f>
        <v>10.062451</v>
      </c>
      <c r="D242" s="4" t="str">
        <f>IFERROR(__xludf.DUMMYFUNCTION("""COMPUTED_VALUE"""),"Kawthoung")</f>
        <v>Kawthoung</v>
      </c>
      <c r="E242" s="41">
        <f>IFERROR(__xludf.DUMMYFUNCTION("""COMPUTED_VALUE"""),43562.0)</f>
        <v>43562</v>
      </c>
    </row>
    <row r="243">
      <c r="A243" s="4" t="str">
        <f>IFERROR(__xludf.DUMMYFUNCTION("""COMPUTED_VALUE"""),"TNI0333")</f>
        <v>TNI0333</v>
      </c>
      <c r="B243" s="38">
        <f>IFERROR(__xludf.DUMMYFUNCTION("""COMPUTED_VALUE"""),98.13788)</f>
        <v>98.13788</v>
      </c>
      <c r="C243" s="38">
        <f>IFERROR(__xludf.DUMMYFUNCTION("""COMPUTED_VALUE"""),14.0074)</f>
        <v>14.0074</v>
      </c>
      <c r="D243" s="4" t="str">
        <f>IFERROR(__xludf.DUMMYFUNCTION("""COMPUTED_VALUE"""),"Launglon")</f>
        <v>Launglon</v>
      </c>
      <c r="E243" s="4">
        <f>IFERROR(__xludf.DUMMYFUNCTION("""COMPUTED_VALUE"""),43477.0)</f>
        <v>43477</v>
      </c>
    </row>
    <row r="244">
      <c r="A244" s="4" t="str">
        <f>IFERROR(__xludf.DUMMYFUNCTION("""COMPUTED_VALUE"""),"TNI0352")</f>
        <v>TNI0352</v>
      </c>
      <c r="B244" s="38">
        <f>IFERROR(__xludf.DUMMYFUNCTION("""COMPUTED_VALUE"""),98.850801)</f>
        <v>98.850801</v>
      </c>
      <c r="C244" s="38">
        <f>IFERROR(__xludf.DUMMYFUNCTION("""COMPUTED_VALUE"""),12.51358)</f>
        <v>12.51358</v>
      </c>
      <c r="D244" s="4" t="str">
        <f>IFERROR(__xludf.DUMMYFUNCTION("""COMPUTED_VALUE"""),"Myeik")</f>
        <v>Myeik</v>
      </c>
      <c r="E244" s="10">
        <f>IFERROR(__xludf.DUMMYFUNCTION("""COMPUTED_VALUE"""),43734.0)</f>
        <v>43734</v>
      </c>
    </row>
    <row r="245">
      <c r="A245" s="4" t="str">
        <f>IFERROR(__xludf.DUMMYFUNCTION("""COMPUTED_VALUE"""),"TNI0354")</f>
        <v>TNI0354</v>
      </c>
      <c r="B245" s="38">
        <f>IFERROR(__xludf.DUMMYFUNCTION("""COMPUTED_VALUE"""),98.83661)</f>
        <v>98.83661</v>
      </c>
      <c r="C245" s="38">
        <f>IFERROR(__xludf.DUMMYFUNCTION("""COMPUTED_VALUE"""),12.43011)</f>
        <v>12.43011</v>
      </c>
      <c r="D245" s="4" t="str">
        <f>IFERROR(__xludf.DUMMYFUNCTION("""COMPUTED_VALUE"""),"Myeik")</f>
        <v>Myeik</v>
      </c>
      <c r="E245" s="4">
        <f>IFERROR(__xludf.DUMMYFUNCTION("""COMPUTED_VALUE"""),45339.47963)</f>
        <v>45339.47963</v>
      </c>
    </row>
    <row r="246">
      <c r="A246" s="4" t="str">
        <f>IFERROR(__xludf.DUMMYFUNCTION("""COMPUTED_VALUE"""),"TNI0355")</f>
        <v>TNI0355</v>
      </c>
      <c r="B246" s="38">
        <f>IFERROR(__xludf.DUMMYFUNCTION("""COMPUTED_VALUE"""),98.608282)</f>
        <v>98.608282</v>
      </c>
      <c r="C246" s="38">
        <f>IFERROR(__xludf.DUMMYFUNCTION("""COMPUTED_VALUE"""),10.504017)</f>
        <v>10.504017</v>
      </c>
      <c r="D246" s="4" t="str">
        <f>IFERROR(__xludf.DUMMYFUNCTION("""COMPUTED_VALUE"""),"Kawthoung")</f>
        <v>Kawthoung</v>
      </c>
      <c r="E246" s="10">
        <f>IFERROR(__xludf.DUMMYFUNCTION("""COMPUTED_VALUE"""),43693.0)</f>
        <v>43693</v>
      </c>
    </row>
    <row r="247">
      <c r="A247" s="4" t="str">
        <f>IFERROR(__xludf.DUMMYFUNCTION("""COMPUTED_VALUE"""),"TNI0334")</f>
        <v>TNI0334</v>
      </c>
      <c r="B247" s="38">
        <f>IFERROR(__xludf.DUMMYFUNCTION("""COMPUTED_VALUE"""),98.1766)</f>
        <v>98.1766</v>
      </c>
      <c r="C247" s="38">
        <f>IFERROR(__xludf.DUMMYFUNCTION("""COMPUTED_VALUE"""),13.979921)</f>
        <v>13.979921</v>
      </c>
      <c r="D247" s="4" t="str">
        <f>IFERROR(__xludf.DUMMYFUNCTION("""COMPUTED_VALUE"""),"Launglon")</f>
        <v>Launglon</v>
      </c>
      <c r="E247" s="10">
        <f>IFERROR(__xludf.DUMMYFUNCTION("""COMPUTED_VALUE"""),43857.0)</f>
        <v>43857</v>
      </c>
    </row>
    <row r="248">
      <c r="A248" s="4" t="str">
        <f>IFERROR(__xludf.DUMMYFUNCTION("""COMPUTED_VALUE"""),"TNI0335")</f>
        <v>TNI0335</v>
      </c>
      <c r="B248" s="38">
        <f>IFERROR(__xludf.DUMMYFUNCTION("""COMPUTED_VALUE"""),98.160021)</f>
        <v>98.160021</v>
      </c>
      <c r="C248" s="38">
        <f>IFERROR(__xludf.DUMMYFUNCTION("""COMPUTED_VALUE"""),13.86707)</f>
        <v>13.86707</v>
      </c>
      <c r="D248" s="4" t="str">
        <f>IFERROR(__xludf.DUMMYFUNCTION("""COMPUTED_VALUE"""),"Launglon")</f>
        <v>Launglon</v>
      </c>
      <c r="E248" s="4">
        <f>IFERROR(__xludf.DUMMYFUNCTION("""COMPUTED_VALUE"""),44723.43204)</f>
        <v>44723.43204</v>
      </c>
    </row>
    <row r="249">
      <c r="A249" s="4" t="str">
        <f>IFERROR(__xludf.DUMMYFUNCTION("""COMPUTED_VALUE"""),"TNI0335_01")</f>
        <v>TNI0335_01</v>
      </c>
      <c r="B249" s="38">
        <f>IFERROR(__xludf.DUMMYFUNCTION("""COMPUTED_VALUE"""),98.170014)</f>
        <v>98.170014</v>
      </c>
      <c r="C249" s="38">
        <f>IFERROR(__xludf.DUMMYFUNCTION("""COMPUTED_VALUE"""),13.856578)</f>
        <v>13.856578</v>
      </c>
      <c r="D249" s="4" t="str">
        <f>IFERROR(__xludf.DUMMYFUNCTION("""COMPUTED_VALUE"""),"Launglon")</f>
        <v>Launglon</v>
      </c>
      <c r="E249" s="41">
        <f>IFERROR(__xludf.DUMMYFUNCTION("""COMPUTED_VALUE"""),44716.31222222222)</f>
        <v>44716.31222</v>
      </c>
    </row>
    <row r="250">
      <c r="A250" s="4" t="str">
        <f>IFERROR(__xludf.DUMMYFUNCTION("""COMPUTED_VALUE"""),"TNI0365")</f>
        <v>TNI0365</v>
      </c>
      <c r="B250" s="38">
        <f>IFERROR(__xludf.DUMMYFUNCTION("""COMPUTED_VALUE"""),98.710791)</f>
        <v>98.710791</v>
      </c>
      <c r="C250" s="38">
        <f>IFERROR(__xludf.DUMMYFUNCTION("""COMPUTED_VALUE"""),12.31762)</f>
        <v>12.31762</v>
      </c>
      <c r="D250" s="4" t="str">
        <f>IFERROR(__xludf.DUMMYFUNCTION("""COMPUTED_VALUE"""),"Kyunsu")</f>
        <v>Kyunsu</v>
      </c>
      <c r="E250" s="10">
        <f>IFERROR(__xludf.DUMMYFUNCTION("""COMPUTED_VALUE"""),44377.0)</f>
        <v>44377</v>
      </c>
    </row>
    <row r="251">
      <c r="A251" s="4" t="str">
        <f>IFERROR(__xludf.DUMMYFUNCTION("""COMPUTED_VALUE"""),"TNI0351")</f>
        <v>TNI0351</v>
      </c>
      <c r="B251" s="38">
        <f>IFERROR(__xludf.DUMMYFUNCTION("""COMPUTED_VALUE"""),98.187247)</f>
        <v>98.187247</v>
      </c>
      <c r="C251" s="38">
        <f>IFERROR(__xludf.DUMMYFUNCTION("""COMPUTED_VALUE"""),14.358035)</f>
        <v>14.358035</v>
      </c>
      <c r="D251" s="4" t="str">
        <f>IFERROR(__xludf.DUMMYFUNCTION("""COMPUTED_VALUE"""),"Yebyu")</f>
        <v>Yebyu</v>
      </c>
      <c r="E251" s="4">
        <f>IFERROR(__xludf.DUMMYFUNCTION("""COMPUTED_VALUE"""),45381.40132)</f>
        <v>45381.40132</v>
      </c>
    </row>
    <row r="252">
      <c r="A252" s="4" t="str">
        <f>IFERROR(__xludf.DUMMYFUNCTION("""COMPUTED_VALUE"""),"TNI0370")</f>
        <v>TNI0370</v>
      </c>
      <c r="B252" s="38">
        <f>IFERROR(__xludf.DUMMYFUNCTION("""COMPUTED_VALUE"""),98.732957)</f>
        <v>98.732957</v>
      </c>
      <c r="C252" s="38">
        <f>IFERROR(__xludf.DUMMYFUNCTION("""COMPUTED_VALUE"""),12.395705)</f>
        <v>12.395705</v>
      </c>
      <c r="D252" s="4" t="str">
        <f>IFERROR(__xludf.DUMMYFUNCTION("""COMPUTED_VALUE"""),"Kyunsu")</f>
        <v>Kyunsu</v>
      </c>
      <c r="E252" s="10">
        <f>IFERROR(__xludf.DUMMYFUNCTION("""COMPUTED_VALUE"""),44728.0)</f>
        <v>44728</v>
      </c>
    </row>
    <row r="253">
      <c r="A253" s="4" t="str">
        <f>IFERROR(__xludf.DUMMYFUNCTION("""COMPUTED_VALUE"""),"TNI0371")</f>
        <v>TNI0371</v>
      </c>
      <c r="B253" s="38">
        <f>IFERROR(__xludf.DUMMYFUNCTION("""COMPUTED_VALUE"""),98.67821)</f>
        <v>98.67821</v>
      </c>
      <c r="C253" s="38">
        <f>IFERROR(__xludf.DUMMYFUNCTION("""COMPUTED_VALUE"""),12.34191)</f>
        <v>12.34191</v>
      </c>
      <c r="D253" s="4" t="str">
        <f>IFERROR(__xludf.DUMMYFUNCTION("""COMPUTED_VALUE"""),"Kyunsu")</f>
        <v>Kyunsu</v>
      </c>
      <c r="E253" s="10">
        <f>IFERROR(__xludf.DUMMYFUNCTION("""COMPUTED_VALUE"""),44345.0)</f>
        <v>44345</v>
      </c>
    </row>
    <row r="254">
      <c r="A254" s="4" t="str">
        <f>IFERROR(__xludf.DUMMYFUNCTION("""COMPUTED_VALUE"""),"TNI0372")</f>
        <v>TNI0372</v>
      </c>
      <c r="B254" s="38">
        <f>IFERROR(__xludf.DUMMYFUNCTION("""COMPUTED_VALUE"""),98.55432)</f>
        <v>98.55432</v>
      </c>
      <c r="C254" s="38">
        <f>IFERROR(__xludf.DUMMYFUNCTION("""COMPUTED_VALUE"""),9.98697)</f>
        <v>9.98697</v>
      </c>
      <c r="D254" s="4" t="str">
        <f>IFERROR(__xludf.DUMMYFUNCTION("""COMPUTED_VALUE"""),"Kawthoung")</f>
        <v>Kawthoung</v>
      </c>
      <c r="E254" s="10">
        <f>IFERROR(__xludf.DUMMYFUNCTION("""COMPUTED_VALUE"""),43853.0)</f>
        <v>43853</v>
      </c>
    </row>
    <row r="255">
      <c r="A255" s="4" t="str">
        <f>IFERROR(__xludf.DUMMYFUNCTION("""COMPUTED_VALUE"""),"TNI0379")</f>
        <v>TNI0379</v>
      </c>
      <c r="B255" s="38">
        <f>IFERROR(__xludf.DUMMYFUNCTION("""COMPUTED_VALUE"""),98.4931)</f>
        <v>98.4931</v>
      </c>
      <c r="C255" s="38">
        <f>IFERROR(__xludf.DUMMYFUNCTION("""COMPUTED_VALUE"""),12.3567)</f>
        <v>12.3567</v>
      </c>
      <c r="D255" s="4" t="str">
        <f>IFERROR(__xludf.DUMMYFUNCTION("""COMPUTED_VALUE"""),"Kyunsu")</f>
        <v>Kyunsu</v>
      </c>
      <c r="E255" s="10">
        <f>IFERROR(__xludf.DUMMYFUNCTION("""COMPUTED_VALUE"""),44164.0)</f>
        <v>44164</v>
      </c>
    </row>
    <row r="256">
      <c r="A256" s="4" t="str">
        <f>IFERROR(__xludf.DUMMYFUNCTION("""COMPUTED_VALUE"""),"TNI0380")</f>
        <v>TNI0380</v>
      </c>
      <c r="B256" s="38">
        <f>IFERROR(__xludf.DUMMYFUNCTION("""COMPUTED_VALUE"""),98.2984)</f>
        <v>98.2984</v>
      </c>
      <c r="C256" s="38">
        <f>IFERROR(__xludf.DUMMYFUNCTION("""COMPUTED_VALUE"""),11.8526)</f>
        <v>11.8526</v>
      </c>
      <c r="D256" s="4" t="str">
        <f>IFERROR(__xludf.DUMMYFUNCTION("""COMPUTED_VALUE"""),"Kyunsu")</f>
        <v>Kyunsu</v>
      </c>
      <c r="E256" s="4">
        <f>IFERROR(__xludf.DUMMYFUNCTION("""COMPUTED_VALUE"""),44024.0)</f>
        <v>44024</v>
      </c>
    </row>
    <row r="257">
      <c r="A257" s="4" t="str">
        <f>IFERROR(__xludf.DUMMYFUNCTION("""COMPUTED_VALUE"""),"TNI0381")</f>
        <v>TNI0381</v>
      </c>
      <c r="B257" s="38">
        <f>IFERROR(__xludf.DUMMYFUNCTION("""COMPUTED_VALUE"""),98.708)</f>
        <v>98.708</v>
      </c>
      <c r="C257" s="38">
        <f>IFERROR(__xludf.DUMMYFUNCTION("""COMPUTED_VALUE"""),11.7025)</f>
        <v>11.7025</v>
      </c>
      <c r="D257" s="4" t="str">
        <f>IFERROR(__xludf.DUMMYFUNCTION("""COMPUTED_VALUE"""),"Kyunsu")</f>
        <v>Kyunsu</v>
      </c>
      <c r="E257" s="10">
        <f>IFERROR(__xludf.DUMMYFUNCTION("""COMPUTED_VALUE"""),44161.0)</f>
        <v>44161</v>
      </c>
    </row>
    <row r="258">
      <c r="A258" s="4" t="str">
        <f>IFERROR(__xludf.DUMMYFUNCTION("""COMPUTED_VALUE"""),"TNI0382")</f>
        <v>TNI0382</v>
      </c>
      <c r="B258" s="38">
        <f>IFERROR(__xludf.DUMMYFUNCTION("""COMPUTED_VALUE"""),98.78191)</f>
        <v>98.78191</v>
      </c>
      <c r="C258" s="38">
        <f>IFERROR(__xludf.DUMMYFUNCTION("""COMPUTED_VALUE"""),11.6832)</f>
        <v>11.6832</v>
      </c>
      <c r="D258" s="4" t="str">
        <f>IFERROR(__xludf.DUMMYFUNCTION("""COMPUTED_VALUE"""),"Bokpyin")</f>
        <v>Bokpyin</v>
      </c>
      <c r="E258" s="4">
        <f>IFERROR(__xludf.DUMMYFUNCTION("""COMPUTED_VALUE"""),44177.0)</f>
        <v>44177</v>
      </c>
    </row>
    <row r="259">
      <c r="A259" s="4" t="str">
        <f>IFERROR(__xludf.DUMMYFUNCTION("""COMPUTED_VALUE"""),"TNI0383")</f>
        <v>TNI0383</v>
      </c>
      <c r="B259" s="38">
        <f>IFERROR(__xludf.DUMMYFUNCTION("""COMPUTED_VALUE"""),98.5385)</f>
        <v>98.5385</v>
      </c>
      <c r="C259" s="38">
        <f>IFERROR(__xludf.DUMMYFUNCTION("""COMPUTED_VALUE"""),10.8839)</f>
        <v>10.8839</v>
      </c>
      <c r="D259" s="4" t="str">
        <f>IFERROR(__xludf.DUMMYFUNCTION("""COMPUTED_VALUE"""),"Bokpyin")</f>
        <v>Bokpyin</v>
      </c>
      <c r="E259" s="10">
        <f>IFERROR(__xludf.DUMMYFUNCTION("""COMPUTED_VALUE"""),44196.0)</f>
        <v>44196</v>
      </c>
    </row>
    <row r="260">
      <c r="A260" s="4" t="str">
        <f>IFERROR(__xludf.DUMMYFUNCTION("""COMPUTED_VALUE"""),"TNI0384")</f>
        <v>TNI0384</v>
      </c>
      <c r="B260" s="38">
        <f>IFERROR(__xludf.DUMMYFUNCTION("""COMPUTED_VALUE"""),98.417654)</f>
        <v>98.417654</v>
      </c>
      <c r="C260" s="38">
        <f>IFERROR(__xludf.DUMMYFUNCTION("""COMPUTED_VALUE"""),11.610004)</f>
        <v>11.610004</v>
      </c>
      <c r="D260" s="4" t="str">
        <f>IFERROR(__xludf.DUMMYFUNCTION("""COMPUTED_VALUE"""),"Kyunsu")</f>
        <v>Kyunsu</v>
      </c>
      <c r="E260" s="10">
        <f>IFERROR(__xludf.DUMMYFUNCTION("""COMPUTED_VALUE"""),44184.0)</f>
        <v>44184</v>
      </c>
    </row>
    <row r="261">
      <c r="A261" s="4" t="str">
        <f>IFERROR(__xludf.DUMMYFUNCTION("""COMPUTED_VALUE"""),"TNI0385")</f>
        <v>TNI0385</v>
      </c>
      <c r="B261" s="38">
        <f>IFERROR(__xludf.DUMMYFUNCTION("""COMPUTED_VALUE"""),98.2837)</f>
        <v>98.2837</v>
      </c>
      <c r="C261" s="38">
        <f>IFERROR(__xludf.DUMMYFUNCTION("""COMPUTED_VALUE"""),11.6588)</f>
        <v>11.6588</v>
      </c>
      <c r="D261" s="4" t="str">
        <f>IFERROR(__xludf.DUMMYFUNCTION("""COMPUTED_VALUE"""),"Kyunsu")</f>
        <v>Kyunsu</v>
      </c>
      <c r="E261" s="10">
        <f>IFERROR(__xludf.DUMMYFUNCTION("""COMPUTED_VALUE"""),44191.0)</f>
        <v>44191</v>
      </c>
    </row>
    <row r="262">
      <c r="A262" s="4" t="str">
        <f>IFERROR(__xludf.DUMMYFUNCTION("""COMPUTED_VALUE"""),"TNI0386")</f>
        <v>TNI0386</v>
      </c>
      <c r="B262" s="38">
        <f>IFERROR(__xludf.DUMMYFUNCTION("""COMPUTED_VALUE"""),98.51769)</f>
        <v>98.51769</v>
      </c>
      <c r="C262" s="38">
        <f>IFERROR(__xludf.DUMMYFUNCTION("""COMPUTED_VALUE"""),11.793)</f>
        <v>11.793</v>
      </c>
      <c r="D262" s="4" t="str">
        <f>IFERROR(__xludf.DUMMYFUNCTION("""COMPUTED_VALUE"""),"Kyunsu")</f>
        <v>Kyunsu</v>
      </c>
      <c r="E262" s="10">
        <f>IFERROR(__xludf.DUMMYFUNCTION("""COMPUTED_VALUE"""),44188.0)</f>
        <v>44188</v>
      </c>
    </row>
    <row r="263">
      <c r="A263" s="4" t="str">
        <f>IFERROR(__xludf.DUMMYFUNCTION("""COMPUTED_VALUE"""),"TNI0388")</f>
        <v>TNI0388</v>
      </c>
      <c r="B263" s="38">
        <f>IFERROR(__xludf.DUMMYFUNCTION("""COMPUTED_VALUE"""),98.574224)</f>
        <v>98.574224</v>
      </c>
      <c r="C263" s="38">
        <f>IFERROR(__xludf.DUMMYFUNCTION("""COMPUTED_VALUE"""),13.1155)</f>
        <v>13.1155</v>
      </c>
      <c r="D263" s="4" t="str">
        <f>IFERROR(__xludf.DUMMYFUNCTION("""COMPUTED_VALUE"""),"Palaw")</f>
        <v>Palaw</v>
      </c>
      <c r="E263" s="4">
        <f>IFERROR(__xludf.DUMMYFUNCTION("""COMPUTED_VALUE"""),45414.31978)</f>
        <v>45414.31978</v>
      </c>
    </row>
    <row r="264">
      <c r="A264" s="4" t="str">
        <f>IFERROR(__xludf.DUMMYFUNCTION("""COMPUTED_VALUE"""),"TNI0356")</f>
        <v>TNI0356</v>
      </c>
      <c r="B264" s="38">
        <f>IFERROR(__xludf.DUMMYFUNCTION("""COMPUTED_VALUE"""),98.105683)</f>
        <v>98.105683</v>
      </c>
      <c r="C264" s="38">
        <f>IFERROR(__xludf.DUMMYFUNCTION("""COMPUTED_VALUE"""),14.176631)</f>
        <v>14.176631</v>
      </c>
      <c r="D264" s="4" t="str">
        <f>IFERROR(__xludf.DUMMYFUNCTION("""COMPUTED_VALUE"""),"Launglon")</f>
        <v>Launglon</v>
      </c>
      <c r="E264" s="10">
        <f>IFERROR(__xludf.DUMMYFUNCTION("""COMPUTED_VALUE"""),43732.0)</f>
        <v>43732</v>
      </c>
    </row>
    <row r="265">
      <c r="A265" s="4" t="str">
        <f>IFERROR(__xludf.DUMMYFUNCTION("""COMPUTED_VALUE"""),"TNI0391")</f>
        <v>TNI0391</v>
      </c>
      <c r="B265" s="38">
        <f>IFERROR(__xludf.DUMMYFUNCTION("""COMPUTED_VALUE"""),98.62281)</f>
        <v>98.62281</v>
      </c>
      <c r="C265" s="38">
        <f>IFERROR(__xludf.DUMMYFUNCTION("""COMPUTED_VALUE"""),12.75083)</f>
        <v>12.75083</v>
      </c>
      <c r="D265" s="4" t="str">
        <f>IFERROR(__xludf.DUMMYFUNCTION("""COMPUTED_VALUE"""),"Palaw")</f>
        <v>Palaw</v>
      </c>
      <c r="E265" s="10">
        <f>IFERROR(__xludf.DUMMYFUNCTION("""COMPUTED_VALUE"""),44341.0)</f>
        <v>44341</v>
      </c>
    </row>
    <row r="266">
      <c r="A266" s="4" t="str">
        <f>IFERROR(__xludf.DUMMYFUNCTION("""COMPUTED_VALUE"""),"TNI0392")</f>
        <v>TNI0392</v>
      </c>
      <c r="B266" s="38">
        <f>IFERROR(__xludf.DUMMYFUNCTION("""COMPUTED_VALUE"""),98.190879)</f>
        <v>98.190879</v>
      </c>
      <c r="C266" s="38">
        <f>IFERROR(__xludf.DUMMYFUNCTION("""COMPUTED_VALUE"""),10.029473)</f>
        <v>10.029473</v>
      </c>
      <c r="D266" s="4" t="str">
        <f>IFERROR(__xludf.DUMMYFUNCTION("""COMPUTED_VALUE"""),"Kawthoung")</f>
        <v>Kawthoung</v>
      </c>
      <c r="E266" s="10">
        <f>IFERROR(__xludf.DUMMYFUNCTION("""COMPUTED_VALUE"""),44711.0)</f>
        <v>44711</v>
      </c>
    </row>
    <row r="267">
      <c r="A267" s="4" t="str">
        <f>IFERROR(__xludf.DUMMYFUNCTION("""COMPUTED_VALUE"""),"TNI0360")</f>
        <v>TNI0360</v>
      </c>
      <c r="B267" s="38">
        <f>IFERROR(__xludf.DUMMYFUNCTION("""COMPUTED_VALUE"""),98.158396)</f>
        <v>98.158396</v>
      </c>
      <c r="C267" s="38">
        <f>IFERROR(__xludf.DUMMYFUNCTION("""COMPUTED_VALUE"""),13.633088)</f>
        <v>13.633088</v>
      </c>
      <c r="D267" s="4" t="str">
        <f>IFERROR(__xludf.DUMMYFUNCTION("""COMPUTED_VALUE"""),"Launglon")</f>
        <v>Launglon</v>
      </c>
      <c r="E267" s="4">
        <f>IFERROR(__xludf.DUMMYFUNCTION("""COMPUTED_VALUE"""),45371.30759)</f>
        <v>45371.30759</v>
      </c>
    </row>
    <row r="268">
      <c r="A268" s="4" t="str">
        <f>IFERROR(__xludf.DUMMYFUNCTION("""COMPUTED_VALUE"""),"TNI0398")</f>
        <v>TNI0398</v>
      </c>
      <c r="B268" s="38">
        <f>IFERROR(__xludf.DUMMYFUNCTION("""COMPUTED_VALUE"""),98.487369)</f>
        <v>98.487369</v>
      </c>
      <c r="C268" s="38">
        <f>IFERROR(__xludf.DUMMYFUNCTION("""COMPUTED_VALUE"""),12.047165)</f>
        <v>12.047165</v>
      </c>
      <c r="D268" s="4" t="str">
        <f>IFERROR(__xludf.DUMMYFUNCTION("""COMPUTED_VALUE"""),"Kyunsu")</f>
        <v>Kyunsu</v>
      </c>
      <c r="E268" s="4">
        <f>IFERROR(__xludf.DUMMYFUNCTION("""COMPUTED_VALUE"""),44723.0)</f>
        <v>44723</v>
      </c>
    </row>
    <row r="269">
      <c r="A269" s="4" t="str">
        <f>IFERROR(__xludf.DUMMYFUNCTION("""COMPUTED_VALUE"""),"TNI0399")</f>
        <v>TNI0399</v>
      </c>
      <c r="B269" s="38">
        <f>IFERROR(__xludf.DUMMYFUNCTION("""COMPUTED_VALUE"""),98.54906)</f>
        <v>98.54906</v>
      </c>
      <c r="C269" s="38">
        <f>IFERROR(__xludf.DUMMYFUNCTION("""COMPUTED_VALUE"""),12.02125)</f>
        <v>12.02125</v>
      </c>
      <c r="D269" s="4" t="str">
        <f>IFERROR(__xludf.DUMMYFUNCTION("""COMPUTED_VALUE"""),"Kyunsu")</f>
        <v>Kyunsu</v>
      </c>
      <c r="E269" s="4">
        <f>IFERROR(__xludf.DUMMYFUNCTION("""COMPUTED_VALUE"""),44686.0)</f>
        <v>44686</v>
      </c>
    </row>
    <row r="270">
      <c r="A270" s="4" t="str">
        <f>IFERROR(__xludf.DUMMYFUNCTION("""COMPUTED_VALUE"""),"TNI0401")</f>
        <v>TNI0401</v>
      </c>
      <c r="B270" s="38">
        <f>IFERROR(__xludf.DUMMYFUNCTION("""COMPUTED_VALUE"""),98.5365)</f>
        <v>98.5365</v>
      </c>
      <c r="C270" s="38">
        <f>IFERROR(__xludf.DUMMYFUNCTION("""COMPUTED_VALUE"""),10.369054)</f>
        <v>10.369054</v>
      </c>
      <c r="D270" s="4" t="str">
        <f>IFERROR(__xludf.DUMMYFUNCTION("""COMPUTED_VALUE"""),"Kawthoung")</f>
        <v>Kawthoung</v>
      </c>
      <c r="E270" s="10">
        <f>IFERROR(__xludf.DUMMYFUNCTION("""COMPUTED_VALUE"""),44925.0)</f>
        <v>44925</v>
      </c>
    </row>
    <row r="271">
      <c r="A271" s="4" t="str">
        <f>IFERROR(__xludf.DUMMYFUNCTION("""COMPUTED_VALUE"""),"TNI0402")</f>
        <v>TNI0402</v>
      </c>
      <c r="B271" s="38">
        <f>IFERROR(__xludf.DUMMYFUNCTION("""COMPUTED_VALUE"""),98.669032)</f>
        <v>98.669032</v>
      </c>
      <c r="C271" s="38">
        <f>IFERROR(__xludf.DUMMYFUNCTION("""COMPUTED_VALUE"""),10.987216)</f>
        <v>10.987216</v>
      </c>
      <c r="D271" s="4" t="str">
        <f>IFERROR(__xludf.DUMMYFUNCTION("""COMPUTED_VALUE"""),"Bokpyin")</f>
        <v>Bokpyin</v>
      </c>
      <c r="E271" s="4">
        <f>IFERROR(__xludf.DUMMYFUNCTION("""COMPUTED_VALUE"""),44451.0)</f>
        <v>44451</v>
      </c>
    </row>
    <row r="272">
      <c r="A272" s="4" t="str">
        <f>IFERROR(__xludf.DUMMYFUNCTION("""COMPUTED_VALUE"""),"TNI0404")</f>
        <v>TNI0404</v>
      </c>
      <c r="B272" s="38">
        <f>IFERROR(__xludf.DUMMYFUNCTION("""COMPUTED_VALUE"""),98.490249)</f>
        <v>98.490249</v>
      </c>
      <c r="C272" s="38">
        <f>IFERROR(__xludf.DUMMYFUNCTION("""COMPUTED_VALUE"""),10.185489)</f>
        <v>10.185489</v>
      </c>
      <c r="D272" s="4" t="str">
        <f>IFERROR(__xludf.DUMMYFUNCTION("""COMPUTED_VALUE"""),"Kawthoung")</f>
        <v>Kawthoung</v>
      </c>
      <c r="E272" s="10">
        <f>IFERROR(__xludf.DUMMYFUNCTION("""COMPUTED_VALUE"""),44555.0)</f>
        <v>44555</v>
      </c>
    </row>
    <row r="273">
      <c r="A273" s="4" t="str">
        <f>IFERROR(__xludf.DUMMYFUNCTION("""COMPUTED_VALUE"""),"TNI0406")</f>
        <v>TNI0406</v>
      </c>
      <c r="B273" s="38">
        <f>IFERROR(__xludf.DUMMYFUNCTION("""COMPUTED_VALUE"""),98.4263)</f>
        <v>98.4263</v>
      </c>
      <c r="C273" s="38">
        <f>IFERROR(__xludf.DUMMYFUNCTION("""COMPUTED_VALUE"""),12.383)</f>
        <v>12.383</v>
      </c>
      <c r="D273" s="4" t="str">
        <f>IFERROR(__xludf.DUMMYFUNCTION("""COMPUTED_VALUE"""),"Kyunsu")</f>
        <v>Kyunsu</v>
      </c>
      <c r="E273" s="10">
        <f>IFERROR(__xludf.DUMMYFUNCTION("""COMPUTED_VALUE"""),44704.0)</f>
        <v>44704</v>
      </c>
    </row>
    <row r="274">
      <c r="A274" s="4" t="str">
        <f>IFERROR(__xludf.DUMMYFUNCTION("""COMPUTED_VALUE"""),"TNI0410")</f>
        <v>TNI0410</v>
      </c>
      <c r="B274" s="38">
        <f>IFERROR(__xludf.DUMMYFUNCTION("""COMPUTED_VALUE"""),98.545229)</f>
        <v>98.545229</v>
      </c>
      <c r="C274" s="38">
        <f>IFERROR(__xludf.DUMMYFUNCTION("""COMPUTED_VALUE"""),13.16435)</f>
        <v>13.16435</v>
      </c>
      <c r="D274" s="4" t="str">
        <f>IFERROR(__xludf.DUMMYFUNCTION("""COMPUTED_VALUE"""),"Palaw")</f>
        <v>Palaw</v>
      </c>
      <c r="E274" s="10">
        <f>IFERROR(__xludf.DUMMYFUNCTION("""COMPUTED_VALUE"""),44859.0)</f>
        <v>44859</v>
      </c>
    </row>
    <row r="275">
      <c r="A275" s="4" t="str">
        <f>IFERROR(__xludf.DUMMYFUNCTION("""COMPUTED_VALUE"""),"TNI0411")</f>
        <v>TNI0411</v>
      </c>
      <c r="B275" s="38">
        <f>IFERROR(__xludf.DUMMYFUNCTION("""COMPUTED_VALUE"""),98.603556)</f>
        <v>98.603556</v>
      </c>
      <c r="C275" s="38">
        <f>IFERROR(__xludf.DUMMYFUNCTION("""COMPUTED_VALUE"""),12.200408)</f>
        <v>12.200408</v>
      </c>
      <c r="D275" s="4" t="str">
        <f>IFERROR(__xludf.DUMMYFUNCTION("""COMPUTED_VALUE"""),"Kyunsu")</f>
        <v>Kyunsu</v>
      </c>
      <c r="E275" s="10">
        <f>IFERROR(__xludf.DUMMYFUNCTION("""COMPUTED_VALUE"""),44644.0)</f>
        <v>44644</v>
      </c>
    </row>
    <row r="276">
      <c r="A276" s="4" t="str">
        <f>IFERROR(__xludf.DUMMYFUNCTION("""COMPUTED_VALUE"""),"TNI0412")</f>
        <v>TNI0412</v>
      </c>
      <c r="B276" s="38">
        <f>IFERROR(__xludf.DUMMYFUNCTION("""COMPUTED_VALUE"""),98.697795)</f>
        <v>98.697795</v>
      </c>
      <c r="C276" s="38">
        <f>IFERROR(__xludf.DUMMYFUNCTION("""COMPUTED_VALUE"""),12.019799)</f>
        <v>12.019799</v>
      </c>
      <c r="D276" s="4" t="str">
        <f>IFERROR(__xludf.DUMMYFUNCTION("""COMPUTED_VALUE"""),"Kyunsu")</f>
        <v>Kyunsu</v>
      </c>
      <c r="E276" s="10">
        <f>IFERROR(__xludf.DUMMYFUNCTION("""COMPUTED_VALUE"""),44913.0)</f>
        <v>44913</v>
      </c>
    </row>
    <row r="277">
      <c r="A277" s="4" t="str">
        <f>IFERROR(__xludf.DUMMYFUNCTION("""COMPUTED_VALUE"""),"TNI0413")</f>
        <v>TNI0413</v>
      </c>
      <c r="B277" s="38">
        <f>IFERROR(__xludf.DUMMYFUNCTION("""COMPUTED_VALUE"""),98.6307)</f>
        <v>98.6307</v>
      </c>
      <c r="C277" s="38">
        <f>IFERROR(__xludf.DUMMYFUNCTION("""COMPUTED_VALUE"""),11.718)</f>
        <v>11.718</v>
      </c>
      <c r="D277" s="4" t="str">
        <f>IFERROR(__xludf.DUMMYFUNCTION("""COMPUTED_VALUE"""),"Kyunsu")</f>
        <v>Kyunsu</v>
      </c>
      <c r="E277" s="4">
        <f>IFERROR(__xludf.DUMMYFUNCTION("""COMPUTED_VALUE"""),45747.0)</f>
        <v>45747</v>
      </c>
    </row>
    <row r="278">
      <c r="A278" s="4" t="str">
        <f>IFERROR(__xludf.DUMMYFUNCTION("""COMPUTED_VALUE"""),"TNI0415")</f>
        <v>TNI0415</v>
      </c>
      <c r="B278" s="38">
        <f>IFERROR(__xludf.DUMMYFUNCTION("""COMPUTED_VALUE"""),98.7683)</f>
        <v>98.7683</v>
      </c>
      <c r="C278" s="38">
        <f>IFERROR(__xludf.DUMMYFUNCTION("""COMPUTED_VALUE"""),11.7992)</f>
        <v>11.7992</v>
      </c>
      <c r="D278" s="4" t="str">
        <f>IFERROR(__xludf.DUMMYFUNCTION("""COMPUTED_VALUE"""),"Kyunsu")</f>
        <v>Kyunsu</v>
      </c>
      <c r="E278" s="10">
        <f>IFERROR(__xludf.DUMMYFUNCTION("""COMPUTED_VALUE"""),44768.0)</f>
        <v>44768</v>
      </c>
    </row>
    <row r="279">
      <c r="A279" s="4" t="str">
        <f>IFERROR(__xludf.DUMMYFUNCTION("""COMPUTED_VALUE"""),"TNI0416")</f>
        <v>TNI0416</v>
      </c>
      <c r="B279" s="38">
        <f>IFERROR(__xludf.DUMMYFUNCTION("""COMPUTED_VALUE"""),98.673127)</f>
        <v>98.673127</v>
      </c>
      <c r="C279" s="38">
        <f>IFERROR(__xludf.DUMMYFUNCTION("""COMPUTED_VALUE"""),11.071827)</f>
        <v>11.071827</v>
      </c>
      <c r="D279" s="4" t="str">
        <f>IFERROR(__xludf.DUMMYFUNCTION("""COMPUTED_VALUE"""),"Bokpyin")</f>
        <v>Bokpyin</v>
      </c>
      <c r="E279" s="4">
        <f>IFERROR(__xludf.DUMMYFUNCTION("""COMPUTED_VALUE"""),44752.0)</f>
        <v>44752</v>
      </c>
    </row>
    <row r="280">
      <c r="A280" s="4" t="str">
        <f>IFERROR(__xludf.DUMMYFUNCTION("""COMPUTED_VALUE"""),"TNI0417")</f>
        <v>TNI0417</v>
      </c>
      <c r="B280" s="38">
        <f>IFERROR(__xludf.DUMMYFUNCTION("""COMPUTED_VALUE"""),98.616729)</f>
        <v>98.616729</v>
      </c>
      <c r="C280" s="38">
        <f>IFERROR(__xludf.DUMMYFUNCTION("""COMPUTED_VALUE"""),11.069759)</f>
        <v>11.069759</v>
      </c>
      <c r="D280" s="4" t="str">
        <f>IFERROR(__xludf.DUMMYFUNCTION("""COMPUTED_VALUE"""),"Bokpyin")</f>
        <v>Bokpyin</v>
      </c>
      <c r="E280" s="4">
        <f>IFERROR(__xludf.DUMMYFUNCTION("""COMPUTED_VALUE"""),44838.0)</f>
        <v>44838</v>
      </c>
    </row>
    <row r="281">
      <c r="A281" s="4" t="str">
        <f>IFERROR(__xludf.DUMMYFUNCTION("""COMPUTED_VALUE"""),"TNI0418")</f>
        <v>TNI0418</v>
      </c>
      <c r="B281" s="38">
        <f>IFERROR(__xludf.DUMMYFUNCTION("""COMPUTED_VALUE"""),99.05276)</f>
        <v>99.05276</v>
      </c>
      <c r="C281" s="38">
        <f>IFERROR(__xludf.DUMMYFUNCTION("""COMPUTED_VALUE"""),11.579948)</f>
        <v>11.579948</v>
      </c>
      <c r="D281" s="4" t="str">
        <f>IFERROR(__xludf.DUMMYFUNCTION("""COMPUTED_VALUE"""),"Bokpyin")</f>
        <v>Bokpyin</v>
      </c>
      <c r="E281" s="4">
        <f>IFERROR(__xludf.DUMMYFUNCTION("""COMPUTED_VALUE"""),45429.73382)</f>
        <v>45429.73382</v>
      </c>
    </row>
    <row r="282">
      <c r="A282" s="4" t="str">
        <f>IFERROR(__xludf.DUMMYFUNCTION("""COMPUTED_VALUE"""),"TNI0422")</f>
        <v>TNI0422</v>
      </c>
      <c r="B282" s="38">
        <f>IFERROR(__xludf.DUMMYFUNCTION("""COMPUTED_VALUE"""),98.507867)</f>
        <v>98.507867</v>
      </c>
      <c r="C282" s="38">
        <f>IFERROR(__xludf.DUMMYFUNCTION("""COMPUTED_VALUE"""),12.406175)</f>
        <v>12.406175</v>
      </c>
      <c r="D282" s="4" t="str">
        <f>IFERROR(__xludf.DUMMYFUNCTION("""COMPUTED_VALUE"""),"Kyunsu")</f>
        <v>Kyunsu</v>
      </c>
      <c r="E282" s="4">
        <f>IFERROR(__xludf.DUMMYFUNCTION("""COMPUTED_VALUE"""),44657.0)</f>
        <v>44657</v>
      </c>
    </row>
    <row r="283">
      <c r="A283" s="4" t="str">
        <f>IFERROR(__xludf.DUMMYFUNCTION("""COMPUTED_VALUE"""),"TNI0423")</f>
        <v>TNI0423</v>
      </c>
      <c r="B283" s="38">
        <f>IFERROR(__xludf.DUMMYFUNCTION("""COMPUTED_VALUE"""),98.52235)</f>
        <v>98.52235</v>
      </c>
      <c r="C283" s="38">
        <f>IFERROR(__xludf.DUMMYFUNCTION("""COMPUTED_VALUE"""),11.67548)</f>
        <v>11.67548</v>
      </c>
      <c r="D283" s="4" t="str">
        <f>IFERROR(__xludf.DUMMYFUNCTION("""COMPUTED_VALUE"""),"Kyunsu")</f>
        <v>Kyunsu</v>
      </c>
      <c r="E283" s="10">
        <f>IFERROR(__xludf.DUMMYFUNCTION("""COMPUTED_VALUE"""),44607.0)</f>
        <v>44607</v>
      </c>
    </row>
    <row r="284">
      <c r="A284" s="4" t="str">
        <f>IFERROR(__xludf.DUMMYFUNCTION("""COMPUTED_VALUE"""),"TNI0425")</f>
        <v>TNI0425</v>
      </c>
      <c r="B284" s="38">
        <f>IFERROR(__xludf.DUMMYFUNCTION("""COMPUTED_VALUE"""),98.728618)</f>
        <v>98.728618</v>
      </c>
      <c r="C284" s="38">
        <f>IFERROR(__xludf.DUMMYFUNCTION("""COMPUTED_VALUE"""),11.156644)</f>
        <v>11.156644</v>
      </c>
      <c r="D284" s="4" t="str">
        <f>IFERROR(__xludf.DUMMYFUNCTION("""COMPUTED_VALUE"""),"Bokpyin")</f>
        <v>Bokpyin</v>
      </c>
      <c r="E284" s="10">
        <f>IFERROR(__xludf.DUMMYFUNCTION("""COMPUTED_VALUE"""),44555.0)</f>
        <v>44555</v>
      </c>
    </row>
    <row r="285">
      <c r="A285" s="4" t="str">
        <f>IFERROR(__xludf.DUMMYFUNCTION("""COMPUTED_VALUE"""),"TNI0366")</f>
        <v>TNI0366</v>
      </c>
      <c r="B285" s="38">
        <f>IFERROR(__xludf.DUMMYFUNCTION("""COMPUTED_VALUE"""),98.147179)</f>
        <v>98.147179</v>
      </c>
      <c r="C285" s="38">
        <f>IFERROR(__xludf.DUMMYFUNCTION("""COMPUTED_VALUE"""),14.194398)</f>
        <v>14.194398</v>
      </c>
      <c r="D285" s="4" t="str">
        <f>IFERROR(__xludf.DUMMYFUNCTION("""COMPUTED_VALUE"""),"Launglon")</f>
        <v>Launglon</v>
      </c>
      <c r="E285" s="4">
        <f>IFERROR(__xludf.DUMMYFUNCTION("""COMPUTED_VALUE"""),45137.46302)</f>
        <v>45137.46302</v>
      </c>
    </row>
    <row r="286">
      <c r="A286" s="4" t="str">
        <f>IFERROR(__xludf.DUMMYFUNCTION("""COMPUTED_VALUE"""),"TNI0361")</f>
        <v>TNI0361</v>
      </c>
      <c r="B286" s="38">
        <f>IFERROR(__xludf.DUMMYFUNCTION("""COMPUTED_VALUE"""),98.179707)</f>
        <v>98.179707</v>
      </c>
      <c r="C286" s="38">
        <f>IFERROR(__xludf.DUMMYFUNCTION("""COMPUTED_VALUE"""),13.664037)</f>
        <v>13.664037</v>
      </c>
      <c r="D286" s="4" t="str">
        <f>IFERROR(__xludf.DUMMYFUNCTION("""COMPUTED_VALUE"""),"Launglon")</f>
        <v>Launglon</v>
      </c>
      <c r="E286" s="10">
        <f>IFERROR(__xludf.DUMMYFUNCTION("""COMPUTED_VALUE"""),44149.0)</f>
        <v>44149</v>
      </c>
    </row>
    <row r="287">
      <c r="A287" s="4" t="str">
        <f>IFERROR(__xludf.DUMMYFUNCTION("""COMPUTED_VALUE"""),"TNI0434")</f>
        <v>TNI0434</v>
      </c>
      <c r="B287" s="38">
        <f>IFERROR(__xludf.DUMMYFUNCTION("""COMPUTED_VALUE"""),98.80932)</f>
        <v>98.80932</v>
      </c>
      <c r="C287" s="38">
        <f>IFERROR(__xludf.DUMMYFUNCTION("""COMPUTED_VALUE"""),10.51189)</f>
        <v>10.51189</v>
      </c>
      <c r="D287" s="4" t="str">
        <f>IFERROR(__xludf.DUMMYFUNCTION("""COMPUTED_VALUE"""),"Kawthoung")</f>
        <v>Kawthoung</v>
      </c>
      <c r="E287" s="10">
        <f>IFERROR(__xludf.DUMMYFUNCTION("""COMPUTED_VALUE"""),44831.0)</f>
        <v>44831</v>
      </c>
    </row>
    <row r="288">
      <c r="A288" s="4" t="str">
        <f>IFERROR(__xludf.DUMMYFUNCTION("""COMPUTED_VALUE"""),"TNI0435")</f>
        <v>TNI0435</v>
      </c>
      <c r="B288" s="38">
        <f>IFERROR(__xludf.DUMMYFUNCTION("""COMPUTED_VALUE"""),98.76133)</f>
        <v>98.76133</v>
      </c>
      <c r="C288" s="38">
        <f>IFERROR(__xludf.DUMMYFUNCTION("""COMPUTED_VALUE"""),10.409852)</f>
        <v>10.409852</v>
      </c>
      <c r="D288" s="4" t="str">
        <f>IFERROR(__xludf.DUMMYFUNCTION("""COMPUTED_VALUE"""),"Kawthoung")</f>
        <v>Kawthoung</v>
      </c>
      <c r="E288" s="10">
        <f>IFERROR(__xludf.DUMMYFUNCTION("""COMPUTED_VALUE"""),44833.0)</f>
        <v>44833</v>
      </c>
    </row>
    <row r="289">
      <c r="A289" s="4" t="str">
        <f>IFERROR(__xludf.DUMMYFUNCTION("""COMPUTED_VALUE"""),"TNI0440")</f>
        <v>TNI0440</v>
      </c>
      <c r="B289" s="38">
        <f>IFERROR(__xludf.DUMMYFUNCTION("""COMPUTED_VALUE"""),98.755302)</f>
        <v>98.755302</v>
      </c>
      <c r="C289" s="38">
        <f>IFERROR(__xludf.DUMMYFUNCTION("""COMPUTED_VALUE"""),12.304398)</f>
        <v>12.304398</v>
      </c>
      <c r="D289" s="4" t="str">
        <f>IFERROR(__xludf.DUMMYFUNCTION("""COMPUTED_VALUE"""),"Kyunsu")</f>
        <v>Kyunsu</v>
      </c>
      <c r="E289" s="10">
        <f>IFERROR(__xludf.DUMMYFUNCTION("""COMPUTED_VALUE"""),44953.0)</f>
        <v>44953</v>
      </c>
    </row>
    <row r="290">
      <c r="A290" s="4" t="str">
        <f>IFERROR(__xludf.DUMMYFUNCTION("""COMPUTED_VALUE"""),"TNI0442")</f>
        <v>TNI0442</v>
      </c>
      <c r="B290" s="38">
        <f>IFERROR(__xludf.DUMMYFUNCTION("""COMPUTED_VALUE"""),98.59201)</f>
        <v>98.59201</v>
      </c>
      <c r="C290" s="38">
        <f>IFERROR(__xludf.DUMMYFUNCTION("""COMPUTED_VALUE"""),13.22275)</f>
        <v>13.22275</v>
      </c>
      <c r="D290" s="4" t="str">
        <f>IFERROR(__xludf.DUMMYFUNCTION("""COMPUTED_VALUE"""),"Palaw")</f>
        <v>Palaw</v>
      </c>
      <c r="E290" s="4">
        <f>IFERROR(__xludf.DUMMYFUNCTION("""COMPUTED_VALUE"""),45409.46267)</f>
        <v>45409.46267</v>
      </c>
    </row>
    <row r="291">
      <c r="A291" s="4" t="str">
        <f>IFERROR(__xludf.DUMMYFUNCTION("""COMPUTED_VALUE"""),"TNI0447")</f>
        <v>TNI0447</v>
      </c>
      <c r="B291" s="38">
        <f>IFERROR(__xludf.DUMMYFUNCTION("""COMPUTED_VALUE"""),98.730319)</f>
        <v>98.730319</v>
      </c>
      <c r="C291" s="38">
        <f>IFERROR(__xludf.DUMMYFUNCTION("""COMPUTED_VALUE"""),12.514066)</f>
        <v>12.514066</v>
      </c>
      <c r="D291" s="4" t="str">
        <f>IFERROR(__xludf.DUMMYFUNCTION("""COMPUTED_VALUE"""),"Myeik")</f>
        <v>Myeik</v>
      </c>
      <c r="E291" s="10">
        <f>IFERROR(__xludf.DUMMYFUNCTION("""COMPUTED_VALUE"""),44893.0)</f>
        <v>44893</v>
      </c>
    </row>
    <row r="292">
      <c r="A292" s="4" t="str">
        <f>IFERROR(__xludf.DUMMYFUNCTION("""COMPUTED_VALUE"""),"TNI0448")</f>
        <v>TNI0448</v>
      </c>
      <c r="B292" s="38">
        <f>IFERROR(__xludf.DUMMYFUNCTION("""COMPUTED_VALUE"""),98.50203)</f>
        <v>98.50203</v>
      </c>
      <c r="C292" s="38">
        <f>IFERROR(__xludf.DUMMYFUNCTION("""COMPUTED_VALUE"""),13.20036)</f>
        <v>13.20036</v>
      </c>
      <c r="D292" s="4" t="str">
        <f>IFERROR(__xludf.DUMMYFUNCTION("""COMPUTED_VALUE"""),"Palaw")</f>
        <v>Palaw</v>
      </c>
      <c r="E292" s="4">
        <f>IFERROR(__xludf.DUMMYFUNCTION("""COMPUTED_VALUE"""),45413.70456)</f>
        <v>45413.70456</v>
      </c>
    </row>
    <row r="293">
      <c r="A293" s="4" t="str">
        <f>IFERROR(__xludf.DUMMYFUNCTION("""COMPUTED_VALUE"""),"TNI0449")</f>
        <v>TNI0449</v>
      </c>
      <c r="B293" s="38">
        <f>IFERROR(__xludf.DUMMYFUNCTION("""COMPUTED_VALUE"""),98.647019)</f>
        <v>98.647019</v>
      </c>
      <c r="C293" s="38">
        <f>IFERROR(__xludf.DUMMYFUNCTION("""COMPUTED_VALUE"""),12.582807)</f>
        <v>12.582807</v>
      </c>
      <c r="D293" s="4" t="str">
        <f>IFERROR(__xludf.DUMMYFUNCTION("""COMPUTED_VALUE"""),"Myeik")</f>
        <v>Myeik</v>
      </c>
      <c r="E293" s="10">
        <f>IFERROR(__xludf.DUMMYFUNCTION("""COMPUTED_VALUE"""),44895.0)</f>
        <v>44895</v>
      </c>
    </row>
    <row r="294">
      <c r="A294" s="4" t="str">
        <f>IFERROR(__xludf.DUMMYFUNCTION("""COMPUTED_VALUE"""),"TNI0454")</f>
        <v>TNI0454</v>
      </c>
      <c r="B294" s="38">
        <f>IFERROR(__xludf.DUMMYFUNCTION("""COMPUTED_VALUE"""),98.52641)</f>
        <v>98.52641</v>
      </c>
      <c r="C294" s="38">
        <f>IFERROR(__xludf.DUMMYFUNCTION("""COMPUTED_VALUE"""),10.03761)</f>
        <v>10.03761</v>
      </c>
      <c r="D294" s="4" t="str">
        <f>IFERROR(__xludf.DUMMYFUNCTION("""COMPUTED_VALUE"""),"Kawthoung")</f>
        <v>Kawthoung</v>
      </c>
      <c r="E294" s="10">
        <f>IFERROR(__xludf.DUMMYFUNCTION("""COMPUTED_VALUE"""),44548.0)</f>
        <v>44548</v>
      </c>
    </row>
    <row r="295">
      <c r="A295" s="4" t="str">
        <f>IFERROR(__xludf.DUMMYFUNCTION("""COMPUTED_VALUE"""),"TNI0390")</f>
        <v>TNI0390</v>
      </c>
      <c r="B295" s="38">
        <f>IFERROR(__xludf.DUMMYFUNCTION("""COMPUTED_VALUE"""),98.031877)</f>
        <v>98.031877</v>
      </c>
      <c r="C295" s="38">
        <f>IFERROR(__xludf.DUMMYFUNCTION("""COMPUTED_VALUE"""),14.870526)</f>
        <v>14.870526</v>
      </c>
      <c r="D295" s="4" t="str">
        <f>IFERROR(__xludf.DUMMYFUNCTION("""COMPUTED_VALUE"""),"Yebyu")</f>
        <v>Yebyu</v>
      </c>
      <c r="E295" s="4">
        <f>IFERROR(__xludf.DUMMYFUNCTION("""COMPUTED_VALUE"""),45453.08383)</f>
        <v>45453.08383</v>
      </c>
    </row>
    <row r="296">
      <c r="A296" s="4" t="str">
        <f>IFERROR(__xludf.DUMMYFUNCTION("""COMPUTED_VALUE"""),"TNI0505")</f>
        <v>TNI0505</v>
      </c>
      <c r="B296" s="38">
        <f>IFERROR(__xludf.DUMMYFUNCTION("""COMPUTED_VALUE"""),99.115209)</f>
        <v>99.115209</v>
      </c>
      <c r="C296" s="38">
        <f>IFERROR(__xludf.DUMMYFUNCTION("""COMPUTED_VALUE"""),11.853409)</f>
        <v>11.853409</v>
      </c>
      <c r="D296" s="4" t="str">
        <f>IFERROR(__xludf.DUMMYFUNCTION("""COMPUTED_VALUE"""),"Tanintharyi")</f>
        <v>Tanintharyi</v>
      </c>
      <c r="E296" s="10">
        <f>IFERROR(__xludf.DUMMYFUNCTION("""COMPUTED_VALUE"""),44827.0)</f>
        <v>44827</v>
      </c>
    </row>
    <row r="297">
      <c r="A297" s="4" t="str">
        <f>IFERROR(__xludf.DUMMYFUNCTION("""COMPUTED_VALUE"""),"TNI0507")</f>
        <v>TNI0507</v>
      </c>
      <c r="B297" s="38">
        <f>IFERROR(__xludf.DUMMYFUNCTION("""COMPUTED_VALUE"""),99.00374)</f>
        <v>99.00374</v>
      </c>
      <c r="C297" s="38">
        <f>IFERROR(__xludf.DUMMYFUNCTION("""COMPUTED_VALUE"""),11.47334)</f>
        <v>11.47334</v>
      </c>
      <c r="D297" s="4" t="str">
        <f>IFERROR(__xludf.DUMMYFUNCTION("""COMPUTED_VALUE"""),"Bokpyin")</f>
        <v>Bokpyin</v>
      </c>
      <c r="E297" s="4">
        <f>IFERROR(__xludf.DUMMYFUNCTION("""COMPUTED_VALUE"""),45537.0)</f>
        <v>45537</v>
      </c>
    </row>
    <row r="298">
      <c r="A298" s="4" t="str">
        <f>IFERROR(__xludf.DUMMYFUNCTION("""COMPUTED_VALUE"""),"TNI0509")</f>
        <v>TNI0509</v>
      </c>
      <c r="B298" s="38">
        <f>IFERROR(__xludf.DUMMYFUNCTION("""COMPUTED_VALUE"""),98.60683)</f>
        <v>98.60683</v>
      </c>
      <c r="C298" s="38">
        <f>IFERROR(__xludf.DUMMYFUNCTION("""COMPUTED_VALUE"""),10.19835)</f>
        <v>10.19835</v>
      </c>
      <c r="D298" s="4" t="str">
        <f>IFERROR(__xludf.DUMMYFUNCTION("""COMPUTED_VALUE"""),"Kawthoung")</f>
        <v>Kawthoung</v>
      </c>
      <c r="E298" s="10">
        <f>IFERROR(__xludf.DUMMYFUNCTION("""COMPUTED_VALUE"""),45346.0)</f>
        <v>45346</v>
      </c>
    </row>
    <row r="299">
      <c r="A299" s="4" t="str">
        <f>IFERROR(__xludf.DUMMYFUNCTION("""COMPUTED_VALUE"""),"TNI0510")</f>
        <v>TNI0510</v>
      </c>
      <c r="B299" s="38">
        <f>IFERROR(__xludf.DUMMYFUNCTION("""COMPUTED_VALUE"""),98.5681)</f>
        <v>98.5681</v>
      </c>
      <c r="C299" s="38">
        <f>IFERROR(__xludf.DUMMYFUNCTION("""COMPUTED_VALUE"""),10.6288)</f>
        <v>10.6288</v>
      </c>
      <c r="D299" s="4" t="str">
        <f>IFERROR(__xludf.DUMMYFUNCTION("""COMPUTED_VALUE"""),"Kawthoung")</f>
        <v>Kawthoung</v>
      </c>
      <c r="E299" s="10">
        <f>IFERROR(__xludf.DUMMYFUNCTION("""COMPUTED_VALUE"""),45350.0)</f>
        <v>45350</v>
      </c>
    </row>
    <row r="300">
      <c r="A300" s="4" t="str">
        <f>IFERROR(__xludf.DUMMYFUNCTION("""COMPUTED_VALUE"""),"TNI0394")</f>
        <v>TNI0394</v>
      </c>
      <c r="B300" s="38">
        <f>IFERROR(__xludf.DUMMYFUNCTION("""COMPUTED_VALUE"""),98.157276)</f>
        <v>98.157276</v>
      </c>
      <c r="C300" s="38">
        <f>IFERROR(__xludf.DUMMYFUNCTION("""COMPUTED_VALUE"""),13.562345)</f>
        <v>13.562345</v>
      </c>
      <c r="D300" s="4" t="str">
        <f>IFERROR(__xludf.DUMMYFUNCTION("""COMPUTED_VALUE"""),"Launglon")</f>
        <v>Launglon</v>
      </c>
      <c r="E300" s="4">
        <f>IFERROR(__xludf.DUMMYFUNCTION("""COMPUTED_VALUE"""),44709.80008)</f>
        <v>44709.80008</v>
      </c>
    </row>
    <row r="301">
      <c r="A301" s="4" t="str">
        <f>IFERROR(__xludf.DUMMYFUNCTION("""COMPUTED_VALUE"""),"TNI0515")</f>
        <v>TNI0515</v>
      </c>
      <c r="B301" s="38">
        <f>IFERROR(__xludf.DUMMYFUNCTION("""COMPUTED_VALUE"""),98.521)</f>
        <v>98.521</v>
      </c>
      <c r="C301" s="38">
        <f>IFERROR(__xludf.DUMMYFUNCTION("""COMPUTED_VALUE"""),13.3119)</f>
        <v>13.3119</v>
      </c>
      <c r="D301" s="4" t="str">
        <f>IFERROR(__xludf.DUMMYFUNCTION("""COMPUTED_VALUE"""),"Palauk")</f>
        <v>Palauk</v>
      </c>
      <c r="E301" s="4">
        <f>IFERROR(__xludf.DUMMYFUNCTION("""COMPUTED_VALUE"""),45446.95988)</f>
        <v>45446.95988</v>
      </c>
    </row>
    <row r="302">
      <c r="A302" s="4" t="str">
        <f>IFERROR(__xludf.DUMMYFUNCTION("""COMPUTED_VALUE"""),"TNI0516")</f>
        <v>TNI0516</v>
      </c>
      <c r="B302" s="38">
        <f>IFERROR(__xludf.DUMMYFUNCTION("""COMPUTED_VALUE"""),98.7425)</f>
        <v>98.7425</v>
      </c>
      <c r="C302" s="38">
        <f>IFERROR(__xludf.DUMMYFUNCTION("""COMPUTED_VALUE"""),12.37)</f>
        <v>12.37</v>
      </c>
      <c r="D302" s="4" t="str">
        <f>IFERROR(__xludf.DUMMYFUNCTION("""COMPUTED_VALUE"""),"Myeik")</f>
        <v>Myeik</v>
      </c>
      <c r="E302" s="10">
        <f>IFERROR(__xludf.DUMMYFUNCTION("""COMPUTED_VALUE"""),45374.0)</f>
        <v>45374</v>
      </c>
    </row>
    <row r="303">
      <c r="A303" s="4" t="str">
        <f>IFERROR(__xludf.DUMMYFUNCTION("""COMPUTED_VALUE"""),"TNI0517")</f>
        <v>TNI0517</v>
      </c>
      <c r="B303" s="39">
        <f>IFERROR(__xludf.DUMMYFUNCTION("""COMPUTED_VALUE"""),98.6883)</f>
        <v>98.6883</v>
      </c>
      <c r="C303" s="39">
        <f>IFERROR(__xludf.DUMMYFUNCTION("""COMPUTED_VALUE"""),12.4626)</f>
        <v>12.4626</v>
      </c>
      <c r="D303" s="4" t="str">
        <f>IFERROR(__xludf.DUMMYFUNCTION("""COMPUTED_VALUE"""),"Myeik")</f>
        <v>Myeik</v>
      </c>
      <c r="E303" s="41">
        <f>IFERROR(__xludf.DUMMYFUNCTION("""COMPUTED_VALUE"""),45476.0)</f>
        <v>45476</v>
      </c>
    </row>
    <row r="304">
      <c r="A304" s="4" t="str">
        <f>IFERROR(__xludf.DUMMYFUNCTION("""COMPUTED_VALUE"""),"TNI0519")</f>
        <v>TNI0519</v>
      </c>
      <c r="B304" s="38">
        <f>IFERROR(__xludf.DUMMYFUNCTION("""COMPUTED_VALUE"""),98.7865)</f>
        <v>98.7865</v>
      </c>
      <c r="C304" s="38">
        <f>IFERROR(__xludf.DUMMYFUNCTION("""COMPUTED_VALUE"""),12.4352)</f>
        <v>12.4352</v>
      </c>
      <c r="D304" s="4" t="str">
        <f>IFERROR(__xludf.DUMMYFUNCTION("""COMPUTED_VALUE"""),"Myeik")</f>
        <v>Myeik</v>
      </c>
      <c r="E304" s="4">
        <f>IFERROR(__xludf.DUMMYFUNCTION("""COMPUTED_VALUE"""),45714.0)</f>
        <v>45714</v>
      </c>
    </row>
    <row r="305">
      <c r="A305" s="4" t="str">
        <f>IFERROR(__xludf.DUMMYFUNCTION("""COMPUTED_VALUE"""),"TNI0520")</f>
        <v>TNI0520</v>
      </c>
      <c r="B305" s="38">
        <f>IFERROR(__xludf.DUMMYFUNCTION("""COMPUTED_VALUE"""),98.38798)</f>
        <v>98.38798</v>
      </c>
      <c r="C305" s="38">
        <f>IFERROR(__xludf.DUMMYFUNCTION("""COMPUTED_VALUE"""),12.55068)</f>
        <v>12.55068</v>
      </c>
      <c r="D305" s="4" t="str">
        <f>IFERROR(__xludf.DUMMYFUNCTION("""COMPUTED_VALUE"""),"Kyunsu")</f>
        <v>Kyunsu</v>
      </c>
      <c r="E305" s="4">
        <f>IFERROR(__xludf.DUMMYFUNCTION("""COMPUTED_VALUE"""),45869.0)</f>
        <v>45869</v>
      </c>
    </row>
    <row r="306">
      <c r="A306" s="4" t="str">
        <f>IFERROR(__xludf.DUMMYFUNCTION("""COMPUTED_VALUE"""),"TNI0521")</f>
        <v>TNI0521</v>
      </c>
      <c r="B306" s="38">
        <f>IFERROR(__xludf.DUMMYFUNCTION("""COMPUTED_VALUE"""),98.527703)</f>
        <v>98.527703</v>
      </c>
      <c r="C306" s="38">
        <f>IFERROR(__xludf.DUMMYFUNCTION("""COMPUTED_VALUE"""),13.252533)</f>
        <v>13.252533</v>
      </c>
      <c r="D306" s="4" t="str">
        <f>IFERROR(__xludf.DUMMYFUNCTION("""COMPUTED_VALUE"""),"Palaw")</f>
        <v>Palaw</v>
      </c>
      <c r="E306" s="10">
        <f>IFERROR(__xludf.DUMMYFUNCTION("""COMPUTED_VALUE"""),45990.0)</f>
        <v>45990</v>
      </c>
    </row>
    <row r="307">
      <c r="A307" s="4" t="str">
        <f>IFERROR(__xludf.DUMMYFUNCTION("""COMPUTED_VALUE"""),"TNI0424")</f>
        <v>TNI0424</v>
      </c>
      <c r="B307" s="38">
        <f>IFERROR(__xludf.DUMMYFUNCTION("""COMPUTED_VALUE"""),98.377463)</f>
        <v>98.377463</v>
      </c>
      <c r="C307" s="38">
        <f>IFERROR(__xludf.DUMMYFUNCTION("""COMPUTED_VALUE"""),13.646199)</f>
        <v>13.646199</v>
      </c>
      <c r="D307" s="4" t="str">
        <f>IFERROR(__xludf.DUMMYFUNCTION("""COMPUTED_VALUE"""),"Thayetchaung")</f>
        <v>Thayetchaung</v>
      </c>
      <c r="E307" s="46">
        <f>IFERROR(__xludf.DUMMYFUNCTION("""COMPUTED_VALUE"""),44682.361805555556)</f>
        <v>44682.36181</v>
      </c>
    </row>
    <row r="308">
      <c r="A308" s="4" t="str">
        <f>IFERROR(__xludf.DUMMYFUNCTION("""COMPUTED_VALUE"""),"TNI0426")</f>
        <v>TNI0426</v>
      </c>
      <c r="B308" s="38">
        <f>IFERROR(__xludf.DUMMYFUNCTION("""COMPUTED_VALUE"""),98.273948)</f>
        <v>98.273948</v>
      </c>
      <c r="C308" s="38">
        <f>IFERROR(__xludf.DUMMYFUNCTION("""COMPUTED_VALUE"""),14.171117)</f>
        <v>14.171117</v>
      </c>
      <c r="D308" s="4" t="str">
        <f>IFERROR(__xludf.DUMMYFUNCTION("""COMPUTED_VALUE"""),"Yebyu")</f>
        <v>Yebyu</v>
      </c>
      <c r="E308" s="41">
        <f>IFERROR(__xludf.DUMMYFUNCTION("""COMPUTED_VALUE"""),45392.64335648148)</f>
        <v>45392.64336</v>
      </c>
    </row>
    <row r="309">
      <c r="A309" s="4" t="str">
        <f>IFERROR(__xludf.DUMMYFUNCTION("""COMPUTED_VALUE"""),"TNI0430")</f>
        <v>TNI0430</v>
      </c>
      <c r="B309" s="38">
        <f>IFERROR(__xludf.DUMMYFUNCTION("""COMPUTED_VALUE"""),97.990091)</f>
        <v>97.990091</v>
      </c>
      <c r="C309" s="38">
        <f>IFERROR(__xludf.DUMMYFUNCTION("""COMPUTED_VALUE"""),14.574215)</f>
        <v>14.574215</v>
      </c>
      <c r="D309" s="4" t="str">
        <f>IFERROR(__xludf.DUMMYFUNCTION("""COMPUTED_VALUE"""),"Yebyu")</f>
        <v>Yebyu</v>
      </c>
      <c r="E309" s="4">
        <f>IFERROR(__xludf.DUMMYFUNCTION("""COMPUTED_VALUE"""),44988.0)</f>
        <v>44988</v>
      </c>
    </row>
    <row r="310">
      <c r="A310" s="4" t="str">
        <f>IFERROR(__xludf.DUMMYFUNCTION("""COMPUTED_VALUE"""),"TNI0498")</f>
        <v>TNI0498</v>
      </c>
      <c r="B310" s="38">
        <f>IFERROR(__xludf.DUMMYFUNCTION("""COMPUTED_VALUE"""),97.9934)</f>
        <v>97.9934</v>
      </c>
      <c r="C310" s="38">
        <f>IFERROR(__xludf.DUMMYFUNCTION("""COMPUTED_VALUE"""),14.7634)</f>
        <v>14.7634</v>
      </c>
      <c r="D310" s="4" t="str">
        <f>IFERROR(__xludf.DUMMYFUNCTION("""COMPUTED_VALUE"""),"Yebyu")</f>
        <v>Yebyu</v>
      </c>
      <c r="E310" s="10">
        <f>IFERROR(__xludf.DUMMYFUNCTION("""COMPUTED_VALUE"""),45307.0)</f>
        <v>45307</v>
      </c>
    </row>
    <row r="311">
      <c r="A311" s="4" t="str">
        <f>IFERROR(__xludf.DUMMYFUNCTION("""COMPUTED_VALUE"""),"TNI0511")</f>
        <v>TNI0511</v>
      </c>
      <c r="B311" s="38">
        <f>IFERROR(__xludf.DUMMYFUNCTION("""COMPUTED_VALUE"""),98.360229)</f>
        <v>98.360229</v>
      </c>
      <c r="C311" s="38">
        <f>IFERROR(__xludf.DUMMYFUNCTION("""COMPUTED_VALUE"""),13.708031)</f>
        <v>13.708031</v>
      </c>
      <c r="D311" s="4" t="str">
        <f>IFERROR(__xludf.DUMMYFUNCTION("""COMPUTED_VALUE"""),"Thayetchaung")</f>
        <v>Thayetchaung</v>
      </c>
      <c r="E311" s="10">
        <f>IFERROR(__xludf.DUMMYFUNCTION("""COMPUTED_VALUE"""),45341.0)</f>
        <v>45341</v>
      </c>
    </row>
    <row r="312">
      <c r="A312" s="4" t="str">
        <f>IFERROR(__xludf.DUMMYFUNCTION("""COMPUTED_VALUE"""),"TNI0276")</f>
        <v>TNI0276</v>
      </c>
      <c r="B312" s="4">
        <f>IFERROR(__xludf.DUMMYFUNCTION("""COMPUTED_VALUE"""),98.20648)</f>
        <v>98.20648</v>
      </c>
      <c r="C312" s="38">
        <f>IFERROR(__xludf.DUMMYFUNCTION("""COMPUTED_VALUE"""),14.15813)</f>
        <v>14.15813</v>
      </c>
      <c r="D312" s="4" t="str">
        <f>IFERROR(__xludf.DUMMYFUNCTION("""COMPUTED_VALUE"""),"Dawei")</f>
        <v>Dawei</v>
      </c>
      <c r="E312" s="41">
        <f>IFERROR(__xludf.DUMMYFUNCTION("""COMPUTED_VALUE"""),45392.64335648148)</f>
        <v>45392.64336</v>
      </c>
    </row>
    <row r="313">
      <c r="A313" s="4"/>
      <c r="B313" s="4"/>
      <c r="C313" s="4"/>
      <c r="D313" s="4"/>
      <c r="E313" s="4"/>
    </row>
    <row r="314">
      <c r="A314" s="4"/>
      <c r="B314" s="4"/>
      <c r="C314" s="4"/>
      <c r="D314" s="4"/>
      <c r="E314" s="4"/>
    </row>
    <row r="315">
      <c r="A315" s="4"/>
      <c r="B315" s="4"/>
      <c r="C315" s="4"/>
      <c r="D315" s="4"/>
      <c r="E315" s="4"/>
    </row>
    <row r="316">
      <c r="A316" s="4"/>
      <c r="B316" s="4"/>
      <c r="C316" s="4"/>
      <c r="D316" s="4"/>
      <c r="E316" s="4"/>
    </row>
    <row r="317">
      <c r="A317" s="4"/>
      <c r="B317" s="4"/>
      <c r="C317" s="4"/>
      <c r="D317" s="4"/>
      <c r="E317" s="4"/>
    </row>
    <row r="318">
      <c r="A318" s="4"/>
      <c r="B318" s="4"/>
      <c r="C318" s="4"/>
      <c r="D318" s="4"/>
      <c r="E318" s="4"/>
    </row>
    <row r="319">
      <c r="A319" s="4"/>
      <c r="B319" s="4"/>
      <c r="C319" s="4"/>
      <c r="D319" s="4"/>
      <c r="E319" s="4"/>
    </row>
    <row r="320">
      <c r="A320" s="4"/>
      <c r="B320" s="4"/>
      <c r="C320" s="4"/>
      <c r="D320" s="4"/>
      <c r="E320" s="4"/>
    </row>
    <row r="321">
      <c r="A321" s="4"/>
      <c r="B321" s="4"/>
      <c r="C321" s="4"/>
      <c r="D321" s="4"/>
      <c r="E321" s="4"/>
    </row>
    <row r="322">
      <c r="A322" s="4"/>
      <c r="B322" s="4"/>
      <c r="C322" s="4"/>
      <c r="D322" s="4"/>
      <c r="E322" s="4"/>
    </row>
    <row r="323">
      <c r="A323" s="4"/>
      <c r="B323" s="4"/>
      <c r="C323" s="4"/>
      <c r="D323" s="4"/>
      <c r="E323" s="4"/>
    </row>
    <row r="324">
      <c r="A324" s="4"/>
      <c r="B324" s="4"/>
      <c r="C324" s="4"/>
      <c r="D324" s="4"/>
      <c r="E324" s="4"/>
    </row>
    <row r="325">
      <c r="A325" s="4"/>
      <c r="B325" s="4"/>
      <c r="C325" s="4"/>
      <c r="D325" s="4"/>
      <c r="E325" s="4"/>
    </row>
    <row r="326">
      <c r="A326" s="4"/>
      <c r="B326" s="4"/>
      <c r="C326" s="4"/>
      <c r="D326" s="4"/>
      <c r="E326" s="4"/>
    </row>
    <row r="327">
      <c r="A327" s="4"/>
      <c r="B327" s="4"/>
      <c r="C327" s="4"/>
      <c r="D327" s="4"/>
      <c r="E327" s="4"/>
    </row>
    <row r="328">
      <c r="A328" s="4"/>
      <c r="B328" s="4"/>
      <c r="C328" s="4"/>
      <c r="D328" s="4"/>
      <c r="E328" s="4"/>
    </row>
    <row r="329">
      <c r="A329" s="4"/>
      <c r="B329" s="4"/>
      <c r="C329" s="4"/>
      <c r="D329" s="4"/>
      <c r="E329" s="4"/>
    </row>
    <row r="330">
      <c r="A330" s="4"/>
      <c r="B330" s="4"/>
      <c r="C330" s="4"/>
      <c r="D330" s="4"/>
      <c r="E330" s="4"/>
    </row>
    <row r="331">
      <c r="A331" s="4"/>
      <c r="B331" s="4"/>
      <c r="C331" s="4"/>
      <c r="D331" s="4"/>
      <c r="E331" s="4"/>
    </row>
    <row r="332">
      <c r="A332" s="4"/>
      <c r="B332" s="4"/>
      <c r="C332" s="4"/>
      <c r="D332" s="4"/>
      <c r="E332" s="4"/>
    </row>
    <row r="333">
      <c r="A333" s="4"/>
      <c r="B333" s="4"/>
      <c r="C333" s="4"/>
      <c r="D333" s="4"/>
      <c r="E333" s="4"/>
    </row>
    <row r="334">
      <c r="A334" s="4"/>
      <c r="B334" s="4"/>
      <c r="C334" s="4"/>
      <c r="D334" s="4"/>
      <c r="E334" s="4"/>
    </row>
    <row r="335">
      <c r="A335" s="4"/>
      <c r="B335" s="4"/>
      <c r="C335" s="4"/>
      <c r="D335" s="4"/>
      <c r="E335" s="4"/>
    </row>
    <row r="336">
      <c r="A336" s="4"/>
      <c r="B336" s="4"/>
      <c r="C336" s="4"/>
      <c r="D336" s="4"/>
      <c r="E336" s="4"/>
    </row>
    <row r="337">
      <c r="A337" s="4"/>
      <c r="B337" s="4"/>
      <c r="C337" s="4"/>
      <c r="D337" s="4"/>
      <c r="E337" s="4"/>
    </row>
    <row r="338">
      <c r="A338" s="4"/>
      <c r="B338" s="4"/>
      <c r="C338" s="4"/>
      <c r="D338" s="4"/>
      <c r="E338" s="4"/>
    </row>
    <row r="339">
      <c r="A339" s="4"/>
      <c r="B339" s="4"/>
      <c r="C339" s="4"/>
      <c r="D339" s="4"/>
      <c r="E339" s="4"/>
    </row>
    <row r="340">
      <c r="A340" s="4"/>
      <c r="B340" s="4"/>
      <c r="C340" s="4"/>
      <c r="D340" s="4"/>
      <c r="E340" s="4"/>
    </row>
    <row r="341">
      <c r="A341" s="4"/>
      <c r="B341" s="4"/>
      <c r="C341" s="4"/>
      <c r="D341" s="4"/>
      <c r="E341" s="4"/>
    </row>
    <row r="342">
      <c r="A342" s="4"/>
      <c r="B342" s="4"/>
      <c r="C342" s="4"/>
      <c r="D342" s="4"/>
      <c r="E342" s="4"/>
    </row>
    <row r="343">
      <c r="A343" s="4"/>
      <c r="B343" s="4"/>
      <c r="C343" s="4"/>
      <c r="D343" s="4"/>
      <c r="E343" s="4"/>
    </row>
    <row r="344">
      <c r="A344" s="4"/>
      <c r="B344" s="4"/>
      <c r="C344" s="4"/>
      <c r="D344" s="4"/>
      <c r="E344" s="4"/>
    </row>
    <row r="345">
      <c r="A345" s="4"/>
      <c r="B345" s="4"/>
      <c r="C345" s="4"/>
      <c r="D345" s="4"/>
      <c r="E345" s="4"/>
    </row>
    <row r="346">
      <c r="A346" s="4"/>
      <c r="B346" s="4"/>
      <c r="C346" s="4"/>
      <c r="D346" s="4"/>
      <c r="E346" s="4"/>
    </row>
    <row r="347">
      <c r="A347" s="4"/>
      <c r="B347" s="4"/>
      <c r="C347" s="4"/>
      <c r="D347" s="4"/>
      <c r="E347" s="4"/>
    </row>
    <row r="348">
      <c r="A348" s="4"/>
      <c r="B348" s="4"/>
      <c r="C348" s="4"/>
      <c r="D348" s="4"/>
      <c r="E348" s="4"/>
    </row>
    <row r="349">
      <c r="A349" s="4"/>
      <c r="B349" s="4"/>
      <c r="C349" s="4"/>
      <c r="D349" s="4"/>
      <c r="E349" s="4"/>
    </row>
    <row r="350">
      <c r="A350" s="4"/>
      <c r="B350" s="4"/>
      <c r="C350" s="4"/>
      <c r="D350" s="4"/>
      <c r="E350" s="4"/>
    </row>
    <row r="351">
      <c r="A351" s="4"/>
      <c r="B351" s="4"/>
      <c r="C351" s="4"/>
      <c r="D351" s="4"/>
      <c r="E351" s="4"/>
    </row>
    <row r="352">
      <c r="A352" s="4"/>
      <c r="B352" s="4"/>
      <c r="C352" s="4"/>
      <c r="D352" s="4"/>
      <c r="E352" s="4"/>
    </row>
    <row r="353">
      <c r="A353" s="4"/>
      <c r="B353" s="4"/>
      <c r="C353" s="4"/>
      <c r="D353" s="4"/>
      <c r="E353" s="4"/>
    </row>
    <row r="354">
      <c r="A354" s="4"/>
      <c r="B354" s="4"/>
      <c r="C354" s="4"/>
      <c r="D354" s="4"/>
      <c r="E354" s="4"/>
    </row>
    <row r="355">
      <c r="A355" s="4"/>
      <c r="B355" s="4"/>
      <c r="C355" s="4"/>
      <c r="D355" s="4"/>
      <c r="E355" s="4"/>
    </row>
    <row r="356">
      <c r="A356" s="4"/>
      <c r="B356" s="4"/>
      <c r="C356" s="4"/>
      <c r="D356" s="4"/>
      <c r="E356" s="4"/>
    </row>
    <row r="357">
      <c r="A357" s="4"/>
      <c r="B357" s="4"/>
      <c r="C357" s="4"/>
      <c r="D357" s="4"/>
      <c r="E357" s="4"/>
    </row>
    <row r="358">
      <c r="A358" s="4"/>
      <c r="B358" s="4"/>
      <c r="C358" s="4"/>
      <c r="D358" s="4"/>
      <c r="E358" s="4"/>
    </row>
    <row r="359">
      <c r="A359" s="4"/>
      <c r="B359" s="4"/>
      <c r="C359" s="4"/>
      <c r="D359" s="4"/>
      <c r="E359" s="4"/>
    </row>
    <row r="360">
      <c r="A360" s="4"/>
      <c r="B360" s="4"/>
      <c r="C360" s="4"/>
      <c r="D360" s="4"/>
      <c r="E360" s="4"/>
    </row>
    <row r="361">
      <c r="A361" s="4"/>
      <c r="B361" s="4"/>
      <c r="C361" s="4"/>
      <c r="D361" s="4"/>
      <c r="E361" s="4"/>
    </row>
    <row r="362">
      <c r="A362" s="4"/>
      <c r="B362" s="4"/>
      <c r="C362" s="4"/>
      <c r="D362" s="4"/>
      <c r="E362" s="4"/>
    </row>
    <row r="363">
      <c r="A363" s="4"/>
      <c r="B363" s="4"/>
      <c r="C363" s="4"/>
      <c r="D363" s="4"/>
      <c r="E363" s="4"/>
    </row>
    <row r="364">
      <c r="A364" s="4"/>
      <c r="B364" s="4"/>
      <c r="C364" s="4"/>
      <c r="D364" s="4"/>
      <c r="E364" s="4"/>
    </row>
    <row r="365">
      <c r="A365" s="4"/>
      <c r="B365" s="4"/>
      <c r="C365" s="4"/>
      <c r="D365" s="4"/>
      <c r="E365" s="4"/>
    </row>
    <row r="366">
      <c r="A366" s="4"/>
      <c r="B366" s="4"/>
      <c r="C366" s="4"/>
      <c r="D366" s="4"/>
      <c r="E366" s="4"/>
    </row>
    <row r="367">
      <c r="A367" s="4"/>
      <c r="B367" s="4"/>
      <c r="C367" s="4"/>
      <c r="D367" s="4"/>
      <c r="E367" s="4"/>
    </row>
    <row r="368">
      <c r="A368" s="4"/>
      <c r="B368" s="4"/>
      <c r="C368" s="4"/>
      <c r="D368" s="4"/>
      <c r="E368" s="4"/>
    </row>
    <row r="369">
      <c r="A369" s="4"/>
      <c r="B369" s="4"/>
      <c r="C369" s="4"/>
      <c r="D369" s="4"/>
      <c r="E369" s="4"/>
    </row>
    <row r="370">
      <c r="A370" s="4"/>
      <c r="B370" s="4"/>
      <c r="C370" s="4"/>
      <c r="D370" s="4"/>
      <c r="E370" s="4"/>
    </row>
    <row r="371">
      <c r="A371" s="4"/>
      <c r="B371" s="4"/>
      <c r="C371" s="4"/>
      <c r="D371" s="4"/>
      <c r="E371" s="4"/>
    </row>
    <row r="372">
      <c r="A372" s="4"/>
      <c r="B372" s="4"/>
      <c r="C372" s="4"/>
      <c r="D372" s="4"/>
      <c r="E372" s="4"/>
    </row>
    <row r="373">
      <c r="A373" s="4"/>
      <c r="B373" s="4"/>
      <c r="C373" s="4"/>
      <c r="D373" s="4"/>
      <c r="E373" s="4"/>
    </row>
    <row r="374">
      <c r="A374" s="4"/>
      <c r="B374" s="4"/>
      <c r="C374" s="4"/>
      <c r="D374" s="4"/>
      <c r="E374" s="4"/>
    </row>
    <row r="375">
      <c r="A375" s="4"/>
      <c r="B375" s="4"/>
      <c r="C375" s="4"/>
      <c r="D375" s="4"/>
      <c r="E375" s="4"/>
    </row>
    <row r="376">
      <c r="A376" s="4"/>
      <c r="B376" s="4"/>
      <c r="C376" s="4"/>
      <c r="D376" s="4"/>
      <c r="E376" s="4"/>
    </row>
    <row r="377">
      <c r="A377" s="4"/>
      <c r="B377" s="4"/>
      <c r="C377" s="4"/>
      <c r="D377" s="4"/>
      <c r="E377" s="4"/>
    </row>
    <row r="378">
      <c r="A378" s="4"/>
      <c r="B378" s="4"/>
      <c r="C378" s="4"/>
      <c r="D378" s="4"/>
      <c r="E378" s="4"/>
    </row>
    <row r="379">
      <c r="A379" s="4"/>
      <c r="B379" s="4"/>
      <c r="C379" s="4"/>
      <c r="D379" s="4"/>
      <c r="E379" s="4"/>
    </row>
    <row r="380">
      <c r="A380" s="4"/>
      <c r="B380" s="4"/>
      <c r="C380" s="4"/>
      <c r="D380" s="4"/>
      <c r="E380"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15.25"/>
    <col customWidth="1" min="3" max="3" width="16.38"/>
  </cols>
  <sheetData>
    <row r="1">
      <c r="A1" s="43" t="s">
        <v>37</v>
      </c>
      <c r="B1" s="43" t="s">
        <v>186</v>
      </c>
      <c r="C1" s="43" t="s">
        <v>187</v>
      </c>
    </row>
    <row r="2">
      <c r="A2" s="43" t="s">
        <v>30</v>
      </c>
      <c r="B2" s="44">
        <v>46224.0</v>
      </c>
      <c r="C2" s="44">
        <v>46201.0</v>
      </c>
    </row>
    <row r="3">
      <c r="A3" s="43" t="s">
        <v>31</v>
      </c>
      <c r="B3" s="44">
        <v>46234.0</v>
      </c>
      <c r="C3" s="44">
        <v>46219.0</v>
      </c>
    </row>
    <row r="4">
      <c r="A4" s="45"/>
      <c r="B4" s="45"/>
      <c r="C4" s="45"/>
    </row>
    <row r="5">
      <c r="A5" s="45"/>
      <c r="B5" s="45"/>
      <c r="C5" s="45"/>
    </row>
    <row r="6">
      <c r="A6" s="45"/>
      <c r="B6" s="45"/>
      <c r="C6" s="45"/>
    </row>
    <row r="7">
      <c r="A7" s="45"/>
      <c r="B7" s="45"/>
      <c r="C7" s="45"/>
    </row>
    <row r="8">
      <c r="A8" s="45"/>
      <c r="B8" s="45"/>
      <c r="C8" s="45"/>
    </row>
    <row r="9">
      <c r="A9" s="45"/>
      <c r="B9" s="45"/>
      <c r="C9" s="45"/>
    </row>
    <row r="10">
      <c r="A10" s="45"/>
      <c r="B10" s="45"/>
      <c r="C10" s="45"/>
    </row>
    <row r="11">
      <c r="A11" s="45"/>
      <c r="B11" s="45"/>
      <c r="C11" s="45"/>
    </row>
    <row r="12">
      <c r="A12" s="45"/>
      <c r="B12" s="45"/>
      <c r="C12" s="45"/>
    </row>
    <row r="13">
      <c r="A13" s="45"/>
      <c r="B13" s="45"/>
      <c r="C13" s="45"/>
    </row>
    <row r="14">
      <c r="A14" s="45"/>
      <c r="B14" s="45"/>
      <c r="C14" s="45"/>
    </row>
    <row r="15">
      <c r="A15" s="45"/>
      <c r="B15" s="45"/>
      <c r="C15" s="45"/>
    </row>
    <row r="16">
      <c r="A16" s="45"/>
      <c r="B16" s="45"/>
      <c r="C16" s="45"/>
    </row>
    <row r="17">
      <c r="A17" s="45"/>
      <c r="B17" s="45"/>
      <c r="C17" s="45"/>
    </row>
    <row r="18">
      <c r="A18" s="45"/>
      <c r="B18" s="45"/>
      <c r="C18" s="45"/>
    </row>
    <row r="19">
      <c r="A19" s="45"/>
      <c r="B19" s="45"/>
      <c r="C19" s="45"/>
    </row>
    <row r="20">
      <c r="A20" s="45"/>
      <c r="B20" s="45"/>
      <c r="C20" s="45"/>
    </row>
    <row r="21">
      <c r="A21" s="45"/>
      <c r="B21" s="45"/>
      <c r="C21" s="45"/>
    </row>
    <row r="22">
      <c r="A22" s="45"/>
      <c r="B22" s="45"/>
      <c r="C22" s="45"/>
    </row>
    <row r="23">
      <c r="A23" s="45"/>
      <c r="B23" s="45"/>
      <c r="C23" s="45"/>
    </row>
    <row r="24">
      <c r="A24" s="45"/>
      <c r="B24" s="45"/>
      <c r="C24" s="45"/>
    </row>
    <row r="25">
      <c r="A25" s="45"/>
      <c r="B25" s="45"/>
      <c r="C25" s="45"/>
    </row>
    <row r="26">
      <c r="A26" s="45"/>
      <c r="B26" s="45"/>
      <c r="C26" s="45"/>
    </row>
    <row r="27">
      <c r="A27" s="45"/>
      <c r="B27" s="45"/>
      <c r="C27" s="45"/>
    </row>
    <row r="28">
      <c r="A28" s="45"/>
      <c r="B28" s="45"/>
      <c r="C28" s="45"/>
    </row>
    <row r="29">
      <c r="A29" s="45"/>
      <c r="B29" s="45"/>
      <c r="C29" s="45"/>
    </row>
    <row r="30">
      <c r="A30" s="45"/>
      <c r="B30" s="45"/>
      <c r="C30" s="45"/>
    </row>
    <row r="31">
      <c r="A31" s="45"/>
      <c r="B31" s="45"/>
      <c r="C31" s="45"/>
    </row>
    <row r="32">
      <c r="A32" s="45"/>
      <c r="B32" s="45"/>
      <c r="C32" s="45"/>
    </row>
    <row r="33">
      <c r="A33" s="45"/>
      <c r="B33" s="45"/>
      <c r="C33" s="45"/>
    </row>
    <row r="34">
      <c r="A34" s="45"/>
      <c r="B34" s="45"/>
      <c r="C34" s="45"/>
    </row>
    <row r="35">
      <c r="A35" s="45"/>
      <c r="B35" s="45"/>
      <c r="C35" s="45"/>
    </row>
    <row r="36">
      <c r="A36" s="45"/>
      <c r="B36" s="45"/>
      <c r="C36" s="45"/>
    </row>
    <row r="37">
      <c r="A37" s="45"/>
      <c r="B37" s="45"/>
      <c r="C37" s="45"/>
    </row>
    <row r="38">
      <c r="A38" s="45"/>
      <c r="B38" s="45"/>
      <c r="C38" s="45"/>
    </row>
    <row r="39">
      <c r="A39" s="45"/>
      <c r="B39" s="45"/>
      <c r="C39" s="45"/>
    </row>
    <row r="40">
      <c r="A40" s="45"/>
      <c r="B40" s="45"/>
      <c r="C40" s="45"/>
    </row>
    <row r="41">
      <c r="A41" s="45"/>
      <c r="B41" s="45"/>
      <c r="C41" s="45"/>
    </row>
    <row r="42">
      <c r="A42" s="45"/>
      <c r="B42" s="45"/>
      <c r="C42" s="45"/>
    </row>
    <row r="43">
      <c r="A43" s="45"/>
      <c r="B43" s="45"/>
      <c r="C43" s="45"/>
    </row>
    <row r="44">
      <c r="A44" s="45"/>
      <c r="B44" s="45"/>
      <c r="C44" s="45"/>
    </row>
    <row r="45">
      <c r="A45" s="45"/>
      <c r="B45" s="45"/>
      <c r="C45" s="45"/>
    </row>
    <row r="46">
      <c r="A46" s="45"/>
      <c r="B46" s="45"/>
      <c r="C46" s="45"/>
    </row>
    <row r="47">
      <c r="A47" s="45"/>
      <c r="B47" s="45"/>
      <c r="C47" s="45"/>
    </row>
    <row r="48">
      <c r="A48" s="45"/>
      <c r="B48" s="45"/>
      <c r="C48" s="45"/>
    </row>
    <row r="49">
      <c r="A49" s="45"/>
      <c r="B49" s="45"/>
      <c r="C49" s="45"/>
    </row>
    <row r="50">
      <c r="A50" s="45"/>
      <c r="B50" s="45"/>
      <c r="C50" s="45"/>
    </row>
    <row r="51">
      <c r="A51" s="45"/>
      <c r="B51" s="45"/>
      <c r="C51" s="45"/>
    </row>
    <row r="52">
      <c r="A52" s="45"/>
      <c r="B52" s="45"/>
      <c r="C52" s="45"/>
    </row>
    <row r="53">
      <c r="A53" s="45"/>
      <c r="B53" s="45"/>
      <c r="C53" s="45"/>
    </row>
    <row r="54">
      <c r="A54" s="45"/>
      <c r="B54" s="45"/>
      <c r="C54" s="45"/>
    </row>
    <row r="55">
      <c r="A55" s="45"/>
      <c r="B55" s="45"/>
      <c r="C55" s="45"/>
    </row>
    <row r="56">
      <c r="A56" s="45"/>
      <c r="B56" s="45"/>
      <c r="C56" s="45"/>
    </row>
    <row r="57">
      <c r="A57" s="45"/>
      <c r="B57" s="45"/>
      <c r="C57" s="45"/>
    </row>
    <row r="58">
      <c r="A58" s="45"/>
      <c r="B58" s="45"/>
      <c r="C58" s="45"/>
    </row>
    <row r="59">
      <c r="A59" s="45"/>
      <c r="B59" s="45"/>
      <c r="C59" s="45"/>
    </row>
    <row r="60">
      <c r="A60" s="45"/>
      <c r="B60" s="45"/>
      <c r="C60" s="45"/>
    </row>
    <row r="61">
      <c r="A61" s="45"/>
      <c r="B61" s="45"/>
      <c r="C61" s="45"/>
    </row>
    <row r="62">
      <c r="A62" s="45"/>
      <c r="B62" s="45"/>
      <c r="C62" s="45"/>
    </row>
    <row r="63">
      <c r="A63" s="45"/>
      <c r="B63" s="45"/>
      <c r="C63" s="45"/>
    </row>
    <row r="64">
      <c r="A64" s="45"/>
      <c r="B64" s="45"/>
      <c r="C64" s="45"/>
    </row>
    <row r="65">
      <c r="A65" s="45"/>
      <c r="B65" s="45"/>
      <c r="C65" s="45"/>
    </row>
    <row r="66">
      <c r="A66" s="45"/>
      <c r="B66" s="45"/>
      <c r="C66" s="45"/>
    </row>
    <row r="67">
      <c r="A67" s="45"/>
      <c r="B67" s="45"/>
      <c r="C67" s="45"/>
    </row>
    <row r="68">
      <c r="A68" s="45"/>
      <c r="B68" s="45"/>
      <c r="C68" s="45"/>
    </row>
    <row r="69">
      <c r="A69" s="45"/>
      <c r="B69" s="45"/>
      <c r="C69" s="45"/>
    </row>
    <row r="70">
      <c r="A70" s="45"/>
      <c r="B70" s="45"/>
      <c r="C70" s="45"/>
    </row>
    <row r="71">
      <c r="A71" s="45"/>
      <c r="B71" s="45"/>
      <c r="C71" s="45"/>
    </row>
    <row r="72">
      <c r="A72" s="45"/>
      <c r="B72" s="45"/>
      <c r="C72" s="45"/>
    </row>
    <row r="73">
      <c r="A73" s="45"/>
      <c r="B73" s="45"/>
      <c r="C73" s="45"/>
    </row>
    <row r="74">
      <c r="A74" s="45"/>
      <c r="B74" s="45"/>
      <c r="C74" s="45"/>
    </row>
    <row r="75">
      <c r="A75" s="45"/>
      <c r="B75" s="45"/>
      <c r="C75" s="45"/>
    </row>
    <row r="76">
      <c r="A76" s="45"/>
      <c r="B76" s="45"/>
      <c r="C76" s="45"/>
    </row>
    <row r="77">
      <c r="A77" s="45"/>
      <c r="B77" s="45"/>
      <c r="C77" s="45"/>
    </row>
    <row r="78">
      <c r="A78" s="45"/>
      <c r="B78" s="45"/>
      <c r="C78" s="45"/>
    </row>
    <row r="79">
      <c r="A79" s="45"/>
      <c r="B79" s="45"/>
      <c r="C79" s="45"/>
    </row>
    <row r="80">
      <c r="A80" s="45"/>
      <c r="B80" s="45"/>
      <c r="C80" s="45"/>
    </row>
    <row r="81">
      <c r="A81" s="45"/>
      <c r="B81" s="45"/>
      <c r="C81" s="45"/>
    </row>
    <row r="82">
      <c r="A82" s="45"/>
      <c r="B82" s="45"/>
      <c r="C82" s="45"/>
    </row>
    <row r="83">
      <c r="A83" s="45"/>
      <c r="B83" s="45"/>
      <c r="C83" s="45"/>
    </row>
    <row r="84">
      <c r="A84" s="45"/>
      <c r="B84" s="45"/>
      <c r="C84" s="45"/>
    </row>
    <row r="85">
      <c r="A85" s="45"/>
      <c r="B85" s="45"/>
      <c r="C85" s="45"/>
    </row>
    <row r="86">
      <c r="A86" s="45"/>
      <c r="B86" s="45"/>
      <c r="C86" s="45"/>
    </row>
    <row r="87">
      <c r="A87" s="45"/>
      <c r="B87" s="45"/>
      <c r="C87" s="45"/>
    </row>
    <row r="88">
      <c r="A88" s="45"/>
      <c r="B88" s="45"/>
      <c r="C88" s="45"/>
    </row>
    <row r="89">
      <c r="A89" s="45"/>
      <c r="B89" s="45"/>
      <c r="C89" s="45"/>
    </row>
    <row r="90">
      <c r="A90" s="45"/>
      <c r="B90" s="45"/>
      <c r="C90" s="45"/>
    </row>
    <row r="91">
      <c r="A91" s="45"/>
      <c r="B91" s="45"/>
      <c r="C91" s="45"/>
    </row>
    <row r="92">
      <c r="A92" s="45"/>
      <c r="B92" s="45"/>
      <c r="C92" s="45"/>
    </row>
    <row r="93">
      <c r="A93" s="45"/>
      <c r="B93" s="45"/>
      <c r="C93" s="45"/>
    </row>
    <row r="94">
      <c r="A94" s="45"/>
      <c r="B94" s="45"/>
      <c r="C94" s="45"/>
    </row>
    <row r="95">
      <c r="A95" s="45"/>
      <c r="B95" s="45"/>
      <c r="C95" s="45"/>
    </row>
    <row r="96">
      <c r="A96" s="45"/>
      <c r="B96" s="45"/>
      <c r="C96" s="45"/>
    </row>
    <row r="97">
      <c r="A97" s="45"/>
      <c r="B97" s="45"/>
      <c r="C97" s="45"/>
    </row>
    <row r="98">
      <c r="A98" s="45"/>
      <c r="B98" s="45"/>
      <c r="C98" s="45"/>
    </row>
    <row r="99">
      <c r="A99" s="45"/>
      <c r="B99" s="45"/>
      <c r="C99" s="45"/>
    </row>
    <row r="100">
      <c r="A100" s="45"/>
      <c r="B100" s="45"/>
      <c r="C100" s="45"/>
    </row>
    <row r="101">
      <c r="A101" s="45"/>
      <c r="B101" s="45"/>
      <c r="C101" s="45"/>
    </row>
    <row r="102">
      <c r="A102" s="45"/>
      <c r="B102" s="45"/>
      <c r="C102" s="45"/>
    </row>
    <row r="103">
      <c r="A103" s="45"/>
      <c r="B103" s="45"/>
      <c r="C103" s="45"/>
    </row>
    <row r="104">
      <c r="A104" s="45"/>
      <c r="B104" s="45"/>
      <c r="C104" s="45"/>
    </row>
    <row r="105">
      <c r="A105" s="45"/>
      <c r="B105" s="45"/>
      <c r="C105" s="45"/>
    </row>
    <row r="106">
      <c r="A106" s="45"/>
      <c r="B106" s="45"/>
      <c r="C106" s="45"/>
    </row>
    <row r="107">
      <c r="A107" s="45"/>
      <c r="B107" s="45"/>
      <c r="C107" s="45"/>
    </row>
    <row r="108">
      <c r="A108" s="45"/>
      <c r="B108" s="45"/>
      <c r="C108" s="45"/>
    </row>
    <row r="109">
      <c r="A109" s="45"/>
      <c r="B109" s="45"/>
      <c r="C109" s="45"/>
    </row>
    <row r="110">
      <c r="A110" s="45"/>
      <c r="B110" s="45"/>
      <c r="C110" s="45"/>
    </row>
    <row r="111">
      <c r="A111" s="45"/>
      <c r="B111" s="45"/>
      <c r="C111" s="45"/>
    </row>
    <row r="112">
      <c r="A112" s="45"/>
      <c r="B112" s="45"/>
      <c r="C112" s="45"/>
    </row>
    <row r="113">
      <c r="A113" s="45"/>
      <c r="B113" s="45"/>
      <c r="C113" s="45"/>
    </row>
    <row r="114">
      <c r="A114" s="45"/>
      <c r="B114" s="45"/>
      <c r="C114" s="45"/>
    </row>
    <row r="115">
      <c r="A115" s="45"/>
      <c r="B115" s="45"/>
      <c r="C115" s="45"/>
    </row>
    <row r="116">
      <c r="A116" s="45"/>
      <c r="B116" s="45"/>
      <c r="C116" s="45"/>
    </row>
    <row r="117">
      <c r="A117" s="45"/>
      <c r="B117" s="45"/>
      <c r="C117" s="45"/>
    </row>
    <row r="118">
      <c r="A118" s="45"/>
      <c r="B118" s="45"/>
      <c r="C118" s="45"/>
    </row>
    <row r="119">
      <c r="A119" s="45"/>
      <c r="B119" s="45"/>
      <c r="C119" s="45"/>
    </row>
    <row r="120">
      <c r="A120" s="45"/>
      <c r="B120" s="45"/>
      <c r="C120" s="45"/>
    </row>
    <row r="121">
      <c r="A121" s="45"/>
      <c r="B121" s="45"/>
      <c r="C121" s="45"/>
    </row>
    <row r="122">
      <c r="A122" s="45"/>
      <c r="B122" s="45"/>
      <c r="C122" s="45"/>
    </row>
    <row r="123">
      <c r="A123" s="45"/>
      <c r="B123" s="45"/>
      <c r="C123" s="45"/>
    </row>
    <row r="124">
      <c r="A124" s="45"/>
      <c r="B124" s="45"/>
      <c r="C124" s="45"/>
    </row>
    <row r="125">
      <c r="A125" s="45"/>
      <c r="B125" s="45"/>
      <c r="C125" s="45"/>
    </row>
    <row r="126">
      <c r="A126" s="45"/>
      <c r="B126" s="45"/>
      <c r="C126" s="45"/>
    </row>
    <row r="127">
      <c r="A127" s="45"/>
      <c r="B127" s="45"/>
      <c r="C127" s="45"/>
    </row>
    <row r="128">
      <c r="A128" s="45"/>
      <c r="B128" s="45"/>
      <c r="C128" s="45"/>
    </row>
    <row r="129">
      <c r="A129" s="45"/>
      <c r="B129" s="45"/>
      <c r="C129" s="45"/>
    </row>
    <row r="130">
      <c r="A130" s="45"/>
      <c r="B130" s="45"/>
      <c r="C130" s="45"/>
    </row>
    <row r="131">
      <c r="A131" s="45"/>
      <c r="B131" s="45"/>
      <c r="C131" s="45"/>
    </row>
    <row r="132">
      <c r="A132" s="45"/>
      <c r="B132" s="45"/>
      <c r="C132" s="45"/>
    </row>
    <row r="133">
      <c r="A133" s="45"/>
      <c r="B133" s="45"/>
      <c r="C133" s="45"/>
    </row>
    <row r="134">
      <c r="A134" s="45"/>
      <c r="B134" s="45"/>
      <c r="C134" s="45"/>
    </row>
    <row r="135">
      <c r="A135" s="45"/>
      <c r="B135" s="45"/>
      <c r="C135" s="45"/>
    </row>
    <row r="136">
      <c r="A136" s="45"/>
      <c r="B136" s="45"/>
      <c r="C136" s="45"/>
    </row>
    <row r="137">
      <c r="A137" s="45"/>
      <c r="B137" s="45"/>
      <c r="C137" s="45"/>
    </row>
    <row r="138">
      <c r="A138" s="45"/>
      <c r="B138" s="45"/>
      <c r="C138" s="45"/>
    </row>
    <row r="139">
      <c r="A139" s="45"/>
      <c r="B139" s="45"/>
      <c r="C139" s="45"/>
    </row>
    <row r="140">
      <c r="A140" s="45"/>
      <c r="B140" s="45"/>
      <c r="C140" s="45"/>
    </row>
    <row r="141">
      <c r="A141" s="45"/>
      <c r="B141" s="45"/>
      <c r="C141" s="45"/>
    </row>
    <row r="142">
      <c r="A142" s="45"/>
      <c r="B142" s="45"/>
      <c r="C142" s="45"/>
    </row>
    <row r="143">
      <c r="A143" s="45"/>
      <c r="B143" s="45"/>
      <c r="C143" s="45"/>
    </row>
    <row r="144">
      <c r="A144" s="45"/>
      <c r="B144" s="45"/>
      <c r="C144" s="45"/>
    </row>
    <row r="145">
      <c r="A145" s="45"/>
      <c r="B145" s="45"/>
      <c r="C145" s="45"/>
    </row>
    <row r="146">
      <c r="A146" s="45"/>
      <c r="B146" s="45"/>
      <c r="C146" s="45"/>
    </row>
    <row r="147">
      <c r="A147" s="45"/>
      <c r="B147" s="45"/>
      <c r="C147" s="45"/>
    </row>
    <row r="148">
      <c r="A148" s="45"/>
      <c r="B148" s="45"/>
      <c r="C148" s="45"/>
    </row>
    <row r="149">
      <c r="A149" s="45"/>
      <c r="B149" s="45"/>
      <c r="C149" s="45"/>
    </row>
    <row r="150">
      <c r="A150" s="45"/>
      <c r="B150" s="45"/>
      <c r="C150" s="45"/>
    </row>
    <row r="151">
      <c r="A151" s="45"/>
      <c r="B151" s="45"/>
      <c r="C151" s="45"/>
    </row>
    <row r="152">
      <c r="A152" s="45"/>
      <c r="B152" s="45"/>
      <c r="C152" s="45"/>
    </row>
    <row r="153">
      <c r="A153" s="45"/>
      <c r="B153" s="45"/>
      <c r="C153" s="45"/>
    </row>
    <row r="154">
      <c r="A154" s="45"/>
      <c r="B154" s="45"/>
      <c r="C154" s="45"/>
    </row>
    <row r="155">
      <c r="A155" s="45"/>
      <c r="B155" s="45"/>
      <c r="C155" s="45"/>
    </row>
    <row r="156">
      <c r="A156" s="45"/>
      <c r="B156" s="45"/>
      <c r="C156" s="45"/>
    </row>
    <row r="157">
      <c r="A157" s="45"/>
      <c r="B157" s="45"/>
      <c r="C157" s="45"/>
    </row>
    <row r="158">
      <c r="A158" s="45"/>
      <c r="B158" s="45"/>
      <c r="C158" s="45"/>
    </row>
    <row r="159">
      <c r="A159" s="45"/>
      <c r="B159" s="45"/>
      <c r="C159" s="45"/>
    </row>
    <row r="160">
      <c r="A160" s="45"/>
      <c r="B160" s="45"/>
      <c r="C160" s="45"/>
    </row>
    <row r="161">
      <c r="A161" s="45"/>
      <c r="B161" s="45"/>
      <c r="C161" s="45"/>
    </row>
    <row r="162">
      <c r="A162" s="45"/>
      <c r="B162" s="45"/>
      <c r="C162" s="45"/>
    </row>
    <row r="163">
      <c r="A163" s="45"/>
      <c r="B163" s="45"/>
      <c r="C163" s="45"/>
    </row>
    <row r="164">
      <c r="A164" s="45"/>
      <c r="B164" s="45"/>
      <c r="C164" s="45"/>
    </row>
    <row r="165">
      <c r="A165" s="45"/>
      <c r="B165" s="45"/>
      <c r="C165" s="45"/>
    </row>
    <row r="166">
      <c r="A166" s="45"/>
      <c r="B166" s="45"/>
      <c r="C166" s="45"/>
    </row>
    <row r="167">
      <c r="A167" s="45"/>
      <c r="B167" s="45"/>
      <c r="C167" s="45"/>
    </row>
    <row r="168">
      <c r="A168" s="45"/>
      <c r="B168" s="45"/>
      <c r="C168" s="45"/>
    </row>
    <row r="169">
      <c r="A169" s="45"/>
      <c r="B169" s="45"/>
      <c r="C169" s="45"/>
    </row>
    <row r="170">
      <c r="A170" s="45"/>
      <c r="B170" s="45"/>
      <c r="C170" s="45"/>
    </row>
    <row r="171">
      <c r="A171" s="45"/>
      <c r="B171" s="45"/>
      <c r="C171" s="45"/>
    </row>
    <row r="172">
      <c r="A172" s="45"/>
      <c r="B172" s="45"/>
      <c r="C172" s="45"/>
    </row>
    <row r="173">
      <c r="A173" s="45"/>
      <c r="B173" s="45"/>
      <c r="C173" s="45"/>
    </row>
    <row r="174">
      <c r="A174" s="45"/>
      <c r="B174" s="45"/>
      <c r="C174" s="45"/>
    </row>
    <row r="175">
      <c r="A175" s="45"/>
      <c r="B175" s="45"/>
      <c r="C175" s="45"/>
    </row>
    <row r="176">
      <c r="A176" s="45"/>
      <c r="B176" s="45"/>
      <c r="C176" s="45"/>
    </row>
    <row r="177">
      <c r="A177" s="45"/>
      <c r="B177" s="45"/>
      <c r="C177" s="45"/>
    </row>
    <row r="178">
      <c r="A178" s="45"/>
      <c r="B178" s="45"/>
      <c r="C178" s="45"/>
    </row>
    <row r="179">
      <c r="A179" s="45"/>
      <c r="B179" s="45"/>
      <c r="C179" s="45"/>
    </row>
    <row r="180">
      <c r="A180" s="45"/>
      <c r="B180" s="45"/>
      <c r="C180" s="45"/>
    </row>
    <row r="181">
      <c r="A181" s="45"/>
      <c r="B181" s="45"/>
      <c r="C181" s="45"/>
    </row>
    <row r="182">
      <c r="A182" s="45"/>
      <c r="B182" s="45"/>
      <c r="C182" s="45"/>
    </row>
    <row r="183">
      <c r="A183" s="45"/>
      <c r="B183" s="45"/>
      <c r="C183" s="45"/>
    </row>
    <row r="184">
      <c r="A184" s="45"/>
      <c r="B184" s="45"/>
      <c r="C184" s="45"/>
    </row>
    <row r="185">
      <c r="A185" s="45"/>
      <c r="B185" s="45"/>
      <c r="C185" s="45"/>
    </row>
    <row r="186">
      <c r="A186" s="45"/>
      <c r="B186" s="45"/>
      <c r="C186" s="45"/>
    </row>
    <row r="187">
      <c r="A187" s="45"/>
      <c r="B187" s="45"/>
      <c r="C187" s="45"/>
    </row>
    <row r="188">
      <c r="A188" s="45"/>
      <c r="B188" s="45"/>
      <c r="C188" s="45"/>
    </row>
    <row r="189">
      <c r="A189" s="45"/>
      <c r="B189" s="45"/>
      <c r="C189" s="45"/>
    </row>
    <row r="190">
      <c r="A190" s="45"/>
      <c r="B190" s="45"/>
      <c r="C190" s="45"/>
    </row>
    <row r="191">
      <c r="A191" s="45"/>
      <c r="B191" s="45"/>
      <c r="C191" s="45"/>
    </row>
    <row r="192">
      <c r="A192" s="45"/>
      <c r="B192" s="45"/>
      <c r="C192" s="45"/>
    </row>
    <row r="193">
      <c r="A193" s="45"/>
      <c r="B193" s="45"/>
      <c r="C193" s="45"/>
    </row>
    <row r="194">
      <c r="A194" s="45"/>
      <c r="B194" s="45"/>
      <c r="C194" s="45"/>
    </row>
    <row r="195">
      <c r="A195" s="45"/>
      <c r="B195" s="45"/>
      <c r="C195" s="45"/>
    </row>
    <row r="196">
      <c r="A196" s="45"/>
      <c r="B196" s="45"/>
      <c r="C196" s="45"/>
    </row>
    <row r="197">
      <c r="A197" s="45"/>
      <c r="B197" s="45"/>
      <c r="C197" s="45"/>
    </row>
    <row r="198">
      <c r="A198" s="45"/>
      <c r="B198" s="45"/>
      <c r="C198" s="45"/>
    </row>
    <row r="199">
      <c r="A199" s="45"/>
      <c r="B199" s="45"/>
      <c r="C199" s="45"/>
    </row>
    <row r="200">
      <c r="A200" s="45"/>
      <c r="B200" s="45"/>
      <c r="C200" s="45"/>
    </row>
    <row r="201">
      <c r="A201" s="45"/>
      <c r="B201" s="45"/>
      <c r="C201" s="45"/>
    </row>
    <row r="202">
      <c r="A202" s="45"/>
      <c r="B202" s="45"/>
      <c r="C202" s="45"/>
    </row>
    <row r="203">
      <c r="A203" s="45"/>
      <c r="B203" s="45"/>
      <c r="C203" s="45"/>
    </row>
    <row r="204">
      <c r="A204" s="45"/>
      <c r="B204" s="45"/>
      <c r="C204" s="45"/>
    </row>
    <row r="205">
      <c r="A205" s="45"/>
      <c r="B205" s="45"/>
      <c r="C205" s="45"/>
    </row>
    <row r="206">
      <c r="A206" s="45"/>
      <c r="B206" s="45"/>
      <c r="C206" s="45"/>
    </row>
    <row r="207">
      <c r="A207" s="45"/>
      <c r="B207" s="45"/>
      <c r="C207" s="45"/>
    </row>
    <row r="208">
      <c r="A208" s="45"/>
      <c r="B208" s="45"/>
      <c r="C208" s="45"/>
    </row>
    <row r="209">
      <c r="A209" s="45"/>
      <c r="B209" s="45"/>
      <c r="C209" s="45"/>
    </row>
    <row r="210">
      <c r="A210" s="45"/>
      <c r="B210" s="45"/>
      <c r="C210" s="45"/>
    </row>
    <row r="211">
      <c r="A211" s="45"/>
      <c r="B211" s="45"/>
      <c r="C211" s="45"/>
    </row>
    <row r="212">
      <c r="A212" s="45"/>
      <c r="B212" s="45"/>
      <c r="C212" s="45"/>
    </row>
    <row r="213">
      <c r="A213" s="45"/>
      <c r="B213" s="45"/>
      <c r="C213" s="45"/>
    </row>
    <row r="214">
      <c r="A214" s="45"/>
      <c r="B214" s="45"/>
      <c r="C214" s="45"/>
    </row>
    <row r="215">
      <c r="A215" s="45"/>
      <c r="B215" s="45"/>
      <c r="C215" s="45"/>
    </row>
    <row r="216">
      <c r="A216" s="45"/>
      <c r="B216" s="45"/>
      <c r="C216" s="45"/>
    </row>
    <row r="217">
      <c r="A217" s="45"/>
      <c r="B217" s="45"/>
      <c r="C217" s="45"/>
    </row>
    <row r="218">
      <c r="A218" s="45"/>
      <c r="B218" s="45"/>
      <c r="C218" s="45"/>
    </row>
    <row r="219">
      <c r="A219" s="45"/>
      <c r="B219" s="45"/>
      <c r="C219" s="45"/>
    </row>
    <row r="220">
      <c r="A220" s="45"/>
      <c r="B220" s="45"/>
      <c r="C220" s="45"/>
    </row>
    <row r="221">
      <c r="A221" s="45"/>
      <c r="B221" s="45"/>
      <c r="C221" s="45"/>
    </row>
    <row r="222">
      <c r="A222" s="45"/>
      <c r="B222" s="45"/>
      <c r="C222" s="45"/>
    </row>
    <row r="223">
      <c r="A223" s="45"/>
      <c r="B223" s="45"/>
      <c r="C223" s="45"/>
    </row>
    <row r="224">
      <c r="A224" s="45"/>
      <c r="B224" s="45"/>
      <c r="C224" s="45"/>
    </row>
    <row r="225">
      <c r="A225" s="45"/>
      <c r="B225" s="45"/>
      <c r="C225" s="45"/>
    </row>
    <row r="226">
      <c r="A226" s="45"/>
      <c r="B226" s="45"/>
      <c r="C226" s="45"/>
    </row>
    <row r="227">
      <c r="A227" s="45"/>
      <c r="B227" s="45"/>
      <c r="C227" s="45"/>
    </row>
    <row r="228">
      <c r="A228" s="45"/>
      <c r="B228" s="45"/>
      <c r="C228" s="45"/>
    </row>
    <row r="229">
      <c r="A229" s="45"/>
      <c r="B229" s="45"/>
      <c r="C229" s="45"/>
    </row>
    <row r="230">
      <c r="A230" s="45"/>
      <c r="B230" s="45"/>
      <c r="C230" s="45"/>
    </row>
    <row r="231">
      <c r="A231" s="45"/>
      <c r="B231" s="45"/>
      <c r="C231" s="45"/>
    </row>
    <row r="232">
      <c r="A232" s="45"/>
      <c r="B232" s="45"/>
      <c r="C232" s="45"/>
    </row>
    <row r="233">
      <c r="A233" s="45"/>
      <c r="B233" s="45"/>
      <c r="C233" s="45"/>
    </row>
    <row r="234">
      <c r="A234" s="45"/>
      <c r="B234" s="45"/>
      <c r="C234" s="45"/>
    </row>
    <row r="235">
      <c r="A235" s="45"/>
      <c r="B235" s="45"/>
      <c r="C235" s="45"/>
    </row>
    <row r="236">
      <c r="A236" s="45"/>
      <c r="B236" s="45"/>
      <c r="C236" s="45"/>
    </row>
    <row r="237">
      <c r="A237" s="45"/>
      <c r="B237" s="45"/>
      <c r="C237" s="45"/>
    </row>
    <row r="238">
      <c r="A238" s="45"/>
      <c r="B238" s="45"/>
      <c r="C238" s="45"/>
    </row>
    <row r="239">
      <c r="A239" s="45"/>
      <c r="B239" s="45"/>
      <c r="C239" s="45"/>
    </row>
    <row r="240">
      <c r="A240" s="45"/>
      <c r="B240" s="45"/>
      <c r="C240" s="45"/>
    </row>
    <row r="241">
      <c r="A241" s="45"/>
      <c r="B241" s="45"/>
      <c r="C241" s="45"/>
    </row>
    <row r="242">
      <c r="A242" s="45"/>
      <c r="B242" s="45"/>
      <c r="C242" s="45"/>
    </row>
    <row r="243">
      <c r="A243" s="45"/>
      <c r="B243" s="45"/>
      <c r="C243" s="45"/>
    </row>
    <row r="244">
      <c r="A244" s="45"/>
      <c r="B244" s="45"/>
      <c r="C244" s="45"/>
    </row>
    <row r="245">
      <c r="A245" s="45"/>
      <c r="B245" s="45"/>
      <c r="C245" s="45"/>
    </row>
    <row r="246">
      <c r="A246" s="45"/>
      <c r="B246" s="45"/>
      <c r="C246" s="45"/>
    </row>
    <row r="247">
      <c r="A247" s="45"/>
      <c r="B247" s="45"/>
      <c r="C247" s="45"/>
    </row>
    <row r="248">
      <c r="A248" s="45"/>
      <c r="B248" s="45"/>
      <c r="C248" s="45"/>
    </row>
    <row r="249">
      <c r="A249" s="45"/>
      <c r="B249" s="45"/>
      <c r="C249" s="45"/>
    </row>
    <row r="250">
      <c r="A250" s="45"/>
      <c r="B250" s="45"/>
      <c r="C250" s="45"/>
    </row>
    <row r="251">
      <c r="A251" s="45"/>
      <c r="B251" s="45"/>
      <c r="C251" s="45"/>
    </row>
    <row r="252">
      <c r="A252" s="45"/>
      <c r="B252" s="45"/>
      <c r="C252" s="45"/>
    </row>
    <row r="253">
      <c r="A253" s="45"/>
      <c r="B253" s="45"/>
      <c r="C253" s="45"/>
    </row>
    <row r="254">
      <c r="A254" s="45"/>
      <c r="B254" s="45"/>
      <c r="C254" s="45"/>
    </row>
    <row r="255">
      <c r="A255" s="45"/>
      <c r="B255" s="45"/>
      <c r="C255" s="45"/>
    </row>
    <row r="256">
      <c r="A256" s="45"/>
      <c r="B256" s="45"/>
      <c r="C256" s="45"/>
    </row>
    <row r="257">
      <c r="A257" s="45"/>
      <c r="B257" s="45"/>
      <c r="C257" s="45"/>
    </row>
    <row r="258">
      <c r="A258" s="45"/>
      <c r="B258" s="45"/>
      <c r="C258" s="45"/>
    </row>
    <row r="259">
      <c r="A259" s="45"/>
      <c r="B259" s="45"/>
      <c r="C259" s="45"/>
    </row>
    <row r="260">
      <c r="A260" s="45"/>
      <c r="B260" s="45"/>
      <c r="C260" s="45"/>
    </row>
    <row r="261">
      <c r="A261" s="45"/>
      <c r="B261" s="45"/>
      <c r="C261" s="45"/>
    </row>
    <row r="262">
      <c r="A262" s="45"/>
      <c r="B262" s="45"/>
      <c r="C262" s="45"/>
    </row>
    <row r="263">
      <c r="A263" s="45"/>
      <c r="B263" s="45"/>
      <c r="C263" s="45"/>
    </row>
    <row r="264">
      <c r="A264" s="45"/>
      <c r="B264" s="45"/>
      <c r="C264" s="45"/>
    </row>
    <row r="265">
      <c r="A265" s="45"/>
      <c r="B265" s="45"/>
      <c r="C265" s="45"/>
    </row>
    <row r="266">
      <c r="A266" s="45"/>
      <c r="B266" s="45"/>
      <c r="C266" s="45"/>
    </row>
    <row r="267">
      <c r="A267" s="45"/>
      <c r="B267" s="45"/>
      <c r="C267" s="45"/>
    </row>
    <row r="268">
      <c r="A268" s="45"/>
      <c r="B268" s="45"/>
      <c r="C268" s="45"/>
    </row>
    <row r="269">
      <c r="A269" s="45"/>
      <c r="B269" s="45"/>
      <c r="C269" s="45"/>
    </row>
    <row r="270">
      <c r="A270" s="45"/>
      <c r="B270" s="45"/>
      <c r="C270" s="45"/>
    </row>
    <row r="271">
      <c r="A271" s="45"/>
      <c r="B271" s="45"/>
      <c r="C271" s="45"/>
    </row>
    <row r="272">
      <c r="A272" s="45"/>
      <c r="B272" s="45"/>
      <c r="C272" s="45"/>
    </row>
    <row r="273">
      <c r="A273" s="45"/>
      <c r="B273" s="45"/>
      <c r="C273" s="45"/>
    </row>
    <row r="274">
      <c r="A274" s="45"/>
      <c r="B274" s="45"/>
      <c r="C274" s="45"/>
    </row>
    <row r="275">
      <c r="A275" s="45"/>
      <c r="B275" s="45"/>
      <c r="C275" s="45"/>
    </row>
    <row r="276">
      <c r="A276" s="45"/>
      <c r="B276" s="45"/>
      <c r="C276" s="45"/>
    </row>
    <row r="277">
      <c r="A277" s="45"/>
      <c r="B277" s="45"/>
      <c r="C277" s="45"/>
    </row>
    <row r="278">
      <c r="A278" s="45"/>
      <c r="B278" s="45"/>
      <c r="C278" s="45"/>
    </row>
    <row r="279">
      <c r="A279" s="45"/>
      <c r="B279" s="45"/>
      <c r="C279" s="45"/>
    </row>
    <row r="280">
      <c r="A280" s="45"/>
      <c r="B280" s="45"/>
      <c r="C280" s="45"/>
    </row>
    <row r="281">
      <c r="A281" s="45"/>
      <c r="B281" s="45"/>
      <c r="C281" s="45"/>
    </row>
    <row r="282">
      <c r="A282" s="45"/>
      <c r="B282" s="45"/>
      <c r="C282" s="45"/>
    </row>
    <row r="283">
      <c r="A283" s="45"/>
      <c r="B283" s="45"/>
      <c r="C283" s="45"/>
    </row>
    <row r="284">
      <c r="A284" s="45"/>
      <c r="B284" s="45"/>
      <c r="C284" s="45"/>
    </row>
    <row r="285">
      <c r="A285" s="45"/>
      <c r="B285" s="45"/>
      <c r="C285" s="45"/>
    </row>
    <row r="286">
      <c r="A286" s="45"/>
      <c r="B286" s="45"/>
      <c r="C286" s="45"/>
    </row>
    <row r="287">
      <c r="A287" s="45"/>
      <c r="B287" s="45"/>
      <c r="C287" s="45"/>
    </row>
    <row r="288">
      <c r="A288" s="45"/>
      <c r="B288" s="45"/>
      <c r="C288" s="45"/>
    </row>
    <row r="289">
      <c r="A289" s="45"/>
      <c r="B289" s="45"/>
      <c r="C289" s="45"/>
    </row>
    <row r="290">
      <c r="A290" s="45"/>
      <c r="B290" s="45"/>
      <c r="C290" s="45"/>
    </row>
    <row r="291">
      <c r="A291" s="45"/>
      <c r="B291" s="45"/>
      <c r="C291" s="45"/>
    </row>
    <row r="292">
      <c r="A292" s="45"/>
      <c r="B292" s="45"/>
      <c r="C292" s="45"/>
    </row>
    <row r="293">
      <c r="A293" s="45"/>
      <c r="B293" s="45"/>
      <c r="C293" s="45"/>
    </row>
    <row r="294">
      <c r="A294" s="45"/>
      <c r="B294" s="45"/>
      <c r="C294" s="45"/>
    </row>
    <row r="295">
      <c r="A295" s="45"/>
      <c r="B295" s="45"/>
      <c r="C295" s="45"/>
    </row>
    <row r="296">
      <c r="A296" s="45"/>
      <c r="B296" s="45"/>
      <c r="C296" s="45"/>
    </row>
    <row r="297">
      <c r="A297" s="45"/>
      <c r="B297" s="45"/>
      <c r="C297" s="45"/>
    </row>
    <row r="298">
      <c r="A298" s="45"/>
      <c r="B298" s="45"/>
      <c r="C298" s="45"/>
    </row>
    <row r="299">
      <c r="A299" s="45"/>
      <c r="B299" s="45"/>
      <c r="C299" s="45"/>
    </row>
    <row r="300">
      <c r="A300" s="45"/>
      <c r="B300" s="45"/>
      <c r="C300" s="45"/>
    </row>
    <row r="301">
      <c r="A301" s="45"/>
      <c r="B301" s="45"/>
      <c r="C301" s="45"/>
    </row>
    <row r="302">
      <c r="A302" s="45"/>
      <c r="B302" s="45"/>
      <c r="C302" s="45"/>
    </row>
    <row r="303">
      <c r="A303" s="45"/>
      <c r="B303" s="45"/>
      <c r="C303" s="45"/>
    </row>
    <row r="304">
      <c r="A304" s="45"/>
      <c r="B304" s="45"/>
      <c r="C304" s="45"/>
    </row>
    <row r="305">
      <c r="A305" s="45"/>
      <c r="B305" s="45"/>
      <c r="C305" s="45"/>
    </row>
    <row r="306">
      <c r="A306" s="45"/>
      <c r="B306" s="45"/>
      <c r="C306" s="45"/>
    </row>
    <row r="307">
      <c r="A307" s="45"/>
      <c r="B307" s="45"/>
      <c r="C307" s="45"/>
    </row>
    <row r="308">
      <c r="A308" s="45"/>
      <c r="B308" s="45"/>
      <c r="C308" s="45"/>
    </row>
    <row r="309">
      <c r="A309" s="45"/>
      <c r="B309" s="45"/>
      <c r="C309" s="45"/>
    </row>
    <row r="310">
      <c r="A310" s="45"/>
      <c r="B310" s="45"/>
      <c r="C310" s="45"/>
    </row>
    <row r="311">
      <c r="A311" s="45"/>
      <c r="B311" s="45"/>
      <c r="C311" s="45"/>
    </row>
    <row r="312">
      <c r="A312" s="45"/>
      <c r="B312" s="45"/>
      <c r="C312" s="45"/>
    </row>
    <row r="313">
      <c r="A313" s="45"/>
      <c r="B313" s="45"/>
      <c r="C313" s="45"/>
    </row>
    <row r="314">
      <c r="A314" s="45"/>
      <c r="B314" s="45"/>
      <c r="C314" s="45"/>
    </row>
    <row r="315">
      <c r="A315" s="45"/>
      <c r="B315" s="45"/>
      <c r="C315" s="45"/>
    </row>
    <row r="316">
      <c r="A316" s="45"/>
      <c r="B316" s="45"/>
      <c r="C316" s="45"/>
    </row>
    <row r="317">
      <c r="A317" s="45"/>
      <c r="B317" s="45"/>
      <c r="C317" s="45"/>
    </row>
    <row r="318">
      <c r="A318" s="45"/>
      <c r="B318" s="45"/>
      <c r="C318" s="45"/>
    </row>
    <row r="319">
      <c r="A319" s="45"/>
      <c r="B319" s="45"/>
      <c r="C319" s="45"/>
    </row>
    <row r="320">
      <c r="A320" s="45"/>
      <c r="B320" s="45"/>
      <c r="C320" s="45"/>
    </row>
    <row r="321">
      <c r="A321" s="45"/>
      <c r="B321" s="45"/>
      <c r="C321" s="45"/>
    </row>
    <row r="322">
      <c r="A322" s="45"/>
      <c r="B322" s="45"/>
      <c r="C322" s="45"/>
    </row>
    <row r="323">
      <c r="A323" s="45"/>
      <c r="B323" s="45"/>
      <c r="C323" s="45"/>
    </row>
    <row r="324">
      <c r="A324" s="45"/>
      <c r="B324" s="45"/>
      <c r="C324" s="45"/>
    </row>
    <row r="325">
      <c r="A325" s="45"/>
      <c r="B325" s="45"/>
      <c r="C325" s="45"/>
    </row>
    <row r="326">
      <c r="A326" s="45"/>
      <c r="B326" s="45"/>
      <c r="C326" s="45"/>
    </row>
    <row r="327">
      <c r="A327" s="45"/>
      <c r="B327" s="45"/>
      <c r="C327" s="45"/>
    </row>
    <row r="328">
      <c r="A328" s="45"/>
      <c r="B328" s="45"/>
      <c r="C328" s="45"/>
    </row>
    <row r="329">
      <c r="A329" s="45"/>
      <c r="B329" s="45"/>
      <c r="C329" s="45"/>
    </row>
    <row r="330">
      <c r="A330" s="45"/>
      <c r="B330" s="45"/>
      <c r="C330" s="45"/>
    </row>
    <row r="331">
      <c r="A331" s="45"/>
      <c r="B331" s="45"/>
      <c r="C331" s="45"/>
    </row>
    <row r="332">
      <c r="A332" s="45"/>
      <c r="B332" s="45"/>
      <c r="C332" s="45"/>
    </row>
    <row r="333">
      <c r="A333" s="45"/>
      <c r="B333" s="45"/>
      <c r="C333" s="45"/>
    </row>
    <row r="334">
      <c r="A334" s="45"/>
      <c r="B334" s="45"/>
      <c r="C334" s="45"/>
    </row>
    <row r="335">
      <c r="A335" s="45"/>
      <c r="B335" s="45"/>
      <c r="C335" s="45"/>
    </row>
    <row r="336">
      <c r="A336" s="45"/>
      <c r="B336" s="45"/>
      <c r="C336" s="45"/>
    </row>
    <row r="337">
      <c r="A337" s="45"/>
      <c r="B337" s="45"/>
      <c r="C337" s="45"/>
    </row>
    <row r="338">
      <c r="A338" s="45"/>
      <c r="B338" s="45"/>
      <c r="C338" s="45"/>
    </row>
    <row r="339">
      <c r="A339" s="45"/>
      <c r="B339" s="45"/>
      <c r="C339" s="45"/>
    </row>
    <row r="340">
      <c r="A340" s="45"/>
      <c r="B340" s="45"/>
      <c r="C340" s="45"/>
    </row>
    <row r="341">
      <c r="A341" s="45"/>
      <c r="B341" s="45"/>
      <c r="C341" s="45"/>
    </row>
    <row r="342">
      <c r="A342" s="45"/>
      <c r="B342" s="45"/>
      <c r="C342" s="45"/>
    </row>
    <row r="343">
      <c r="A343" s="45"/>
      <c r="B343" s="45"/>
      <c r="C343" s="45"/>
    </row>
    <row r="344">
      <c r="A344" s="45"/>
      <c r="B344" s="45"/>
      <c r="C344" s="45"/>
    </row>
    <row r="345">
      <c r="A345" s="45"/>
      <c r="B345" s="45"/>
      <c r="C345" s="45"/>
    </row>
    <row r="346">
      <c r="A346" s="45"/>
      <c r="B346" s="45"/>
      <c r="C346" s="45"/>
    </row>
    <row r="347">
      <c r="A347" s="45"/>
      <c r="B347" s="45"/>
      <c r="C347" s="45"/>
    </row>
    <row r="348">
      <c r="A348" s="45"/>
      <c r="B348" s="45"/>
      <c r="C348" s="45"/>
    </row>
    <row r="349">
      <c r="A349" s="45"/>
      <c r="B349" s="45"/>
      <c r="C349" s="45"/>
    </row>
    <row r="350">
      <c r="A350" s="45"/>
      <c r="B350" s="45"/>
      <c r="C350" s="45"/>
    </row>
    <row r="351">
      <c r="A351" s="45"/>
      <c r="B351" s="45"/>
      <c r="C351" s="45"/>
    </row>
    <row r="352">
      <c r="A352" s="45"/>
      <c r="B352" s="45"/>
      <c r="C352" s="45"/>
    </row>
    <row r="353">
      <c r="A353" s="45"/>
      <c r="B353" s="45"/>
      <c r="C353" s="45"/>
    </row>
    <row r="354">
      <c r="A354" s="45"/>
      <c r="B354" s="45"/>
      <c r="C354" s="45"/>
    </row>
    <row r="355">
      <c r="A355" s="45"/>
      <c r="B355" s="45"/>
      <c r="C355" s="45"/>
    </row>
    <row r="356">
      <c r="A356" s="45"/>
      <c r="B356" s="45"/>
      <c r="C356" s="45"/>
    </row>
    <row r="357">
      <c r="A357" s="45"/>
      <c r="B357" s="45"/>
      <c r="C357" s="45"/>
    </row>
    <row r="358">
      <c r="A358" s="45"/>
      <c r="B358" s="45"/>
      <c r="C358" s="45"/>
    </row>
    <row r="359">
      <c r="A359" s="45"/>
      <c r="B359" s="45"/>
      <c r="C359" s="45"/>
    </row>
    <row r="360">
      <c r="A360" s="45"/>
      <c r="B360" s="45"/>
      <c r="C360" s="45"/>
    </row>
    <row r="361">
      <c r="A361" s="45"/>
      <c r="B361" s="45"/>
      <c r="C361" s="45"/>
    </row>
    <row r="362">
      <c r="A362" s="45"/>
      <c r="B362" s="45"/>
      <c r="C362" s="45"/>
    </row>
    <row r="363">
      <c r="A363" s="45"/>
      <c r="B363" s="45"/>
      <c r="C363" s="45"/>
    </row>
    <row r="364">
      <c r="A364" s="45"/>
      <c r="B364" s="45"/>
      <c r="C364" s="45"/>
    </row>
    <row r="365">
      <c r="A365" s="45"/>
      <c r="B365" s="45"/>
      <c r="C365" s="45"/>
    </row>
    <row r="366">
      <c r="A366" s="45"/>
      <c r="B366" s="45"/>
      <c r="C366" s="45"/>
    </row>
    <row r="367">
      <c r="A367" s="45"/>
      <c r="B367" s="45"/>
      <c r="C367" s="45"/>
    </row>
    <row r="368">
      <c r="A368" s="45"/>
      <c r="B368" s="45"/>
      <c r="C368" s="45"/>
    </row>
    <row r="369">
      <c r="A369" s="45"/>
      <c r="B369" s="45"/>
      <c r="C369" s="45"/>
    </row>
    <row r="370">
      <c r="A370" s="45"/>
      <c r="B370" s="45"/>
      <c r="C370" s="45"/>
    </row>
    <row r="371">
      <c r="A371" s="45"/>
      <c r="B371" s="45"/>
      <c r="C371" s="45"/>
    </row>
    <row r="372">
      <c r="A372" s="45"/>
      <c r="B372" s="45"/>
      <c r="C372" s="45"/>
    </row>
    <row r="373">
      <c r="A373" s="45"/>
      <c r="B373" s="45"/>
      <c r="C373" s="45"/>
    </row>
    <row r="374">
      <c r="A374" s="45"/>
      <c r="B374" s="45"/>
      <c r="C374" s="45"/>
    </row>
    <row r="375">
      <c r="A375" s="45"/>
      <c r="B375" s="45"/>
      <c r="C375" s="45"/>
    </row>
    <row r="376">
      <c r="A376" s="45"/>
      <c r="B376" s="45"/>
      <c r="C376" s="45"/>
    </row>
    <row r="377">
      <c r="A377" s="45"/>
      <c r="B377" s="45"/>
      <c r="C377" s="45"/>
    </row>
    <row r="378">
      <c r="A378" s="45"/>
      <c r="B378" s="45"/>
      <c r="C378" s="45"/>
    </row>
    <row r="379">
      <c r="A379" s="45"/>
      <c r="B379" s="45"/>
      <c r="C379" s="45"/>
    </row>
    <row r="380">
      <c r="A380" s="45"/>
      <c r="B380" s="45"/>
      <c r="C380" s="45"/>
    </row>
    <row r="381">
      <c r="A381" s="45"/>
      <c r="B381" s="45"/>
      <c r="C381" s="45"/>
    </row>
    <row r="382">
      <c r="A382" s="45"/>
      <c r="B382" s="45"/>
      <c r="C382" s="45"/>
    </row>
    <row r="383">
      <c r="A383" s="45"/>
      <c r="B383" s="45"/>
      <c r="C383" s="45"/>
    </row>
    <row r="384">
      <c r="A384" s="45"/>
      <c r="B384" s="45"/>
      <c r="C384" s="45"/>
    </row>
    <row r="385">
      <c r="A385" s="45"/>
      <c r="B385" s="45"/>
      <c r="C385" s="45"/>
    </row>
    <row r="386">
      <c r="A386" s="45"/>
      <c r="B386" s="45"/>
      <c r="C386" s="45"/>
    </row>
    <row r="387">
      <c r="A387" s="45"/>
      <c r="B387" s="45"/>
      <c r="C387" s="45"/>
    </row>
    <row r="388">
      <c r="A388" s="45"/>
      <c r="B388" s="45"/>
      <c r="C388" s="45"/>
    </row>
    <row r="389">
      <c r="A389" s="45"/>
      <c r="B389" s="45"/>
      <c r="C389" s="45"/>
    </row>
    <row r="390">
      <c r="A390" s="45"/>
      <c r="B390" s="45"/>
      <c r="C390" s="45"/>
    </row>
    <row r="391">
      <c r="A391" s="45"/>
      <c r="B391" s="45"/>
      <c r="C391" s="45"/>
    </row>
    <row r="392">
      <c r="A392" s="45"/>
      <c r="B392" s="45"/>
      <c r="C392" s="45"/>
    </row>
    <row r="393">
      <c r="A393" s="45"/>
      <c r="B393" s="45"/>
      <c r="C393" s="45"/>
    </row>
    <row r="394">
      <c r="A394" s="45"/>
      <c r="B394" s="45"/>
      <c r="C394" s="45"/>
    </row>
    <row r="395">
      <c r="A395" s="45"/>
      <c r="B395" s="45"/>
      <c r="C395" s="45"/>
    </row>
    <row r="396">
      <c r="A396" s="45"/>
      <c r="B396" s="45"/>
      <c r="C396" s="45"/>
    </row>
    <row r="397">
      <c r="A397" s="45"/>
      <c r="B397" s="45"/>
      <c r="C397" s="45"/>
    </row>
    <row r="398">
      <c r="A398" s="45"/>
      <c r="B398" s="45"/>
      <c r="C398" s="45"/>
    </row>
    <row r="399">
      <c r="A399" s="45"/>
      <c r="B399" s="45"/>
      <c r="C399" s="45"/>
    </row>
    <row r="400">
      <c r="A400" s="45"/>
      <c r="B400" s="45"/>
      <c r="C400" s="45"/>
    </row>
    <row r="401">
      <c r="A401" s="45"/>
      <c r="B401" s="45"/>
      <c r="C401" s="45"/>
    </row>
    <row r="402">
      <c r="A402" s="45"/>
      <c r="B402" s="45"/>
      <c r="C402" s="45"/>
    </row>
    <row r="403">
      <c r="A403" s="45"/>
      <c r="B403" s="45"/>
      <c r="C403" s="45"/>
    </row>
    <row r="404">
      <c r="A404" s="45"/>
      <c r="B404" s="45"/>
      <c r="C404" s="45"/>
    </row>
    <row r="405">
      <c r="A405" s="45"/>
      <c r="B405" s="45"/>
      <c r="C405" s="45"/>
    </row>
    <row r="406">
      <c r="A406" s="45"/>
      <c r="B406" s="45"/>
      <c r="C406" s="45"/>
    </row>
    <row r="407">
      <c r="A407" s="45"/>
      <c r="B407" s="45"/>
      <c r="C407" s="45"/>
    </row>
    <row r="408">
      <c r="A408" s="45"/>
      <c r="B408" s="45"/>
      <c r="C408" s="45"/>
    </row>
    <row r="409">
      <c r="A409" s="45"/>
      <c r="B409" s="45"/>
      <c r="C409" s="45"/>
    </row>
    <row r="410">
      <c r="A410" s="45"/>
      <c r="B410" s="45"/>
      <c r="C410" s="45"/>
    </row>
    <row r="411">
      <c r="A411" s="45"/>
      <c r="B411" s="45"/>
      <c r="C411" s="45"/>
    </row>
    <row r="412">
      <c r="A412" s="45"/>
      <c r="B412" s="45"/>
      <c r="C412" s="45"/>
    </row>
    <row r="413">
      <c r="A413" s="45"/>
      <c r="B413" s="45"/>
      <c r="C413" s="45"/>
    </row>
    <row r="414">
      <c r="A414" s="45"/>
      <c r="B414" s="45"/>
      <c r="C414" s="45"/>
    </row>
    <row r="415">
      <c r="A415" s="45"/>
      <c r="B415" s="45"/>
      <c r="C415" s="45"/>
    </row>
    <row r="416">
      <c r="A416" s="45"/>
      <c r="B416" s="45"/>
      <c r="C416" s="45"/>
    </row>
    <row r="417">
      <c r="A417" s="45"/>
      <c r="B417" s="45"/>
      <c r="C417" s="45"/>
    </row>
    <row r="418">
      <c r="A418" s="45"/>
      <c r="B418" s="45"/>
      <c r="C418" s="45"/>
    </row>
    <row r="419">
      <c r="A419" s="45"/>
      <c r="B419" s="45"/>
      <c r="C419" s="45"/>
    </row>
    <row r="420">
      <c r="A420" s="45"/>
      <c r="B420" s="45"/>
      <c r="C420" s="45"/>
    </row>
    <row r="421">
      <c r="A421" s="45"/>
      <c r="B421" s="45"/>
      <c r="C421" s="45"/>
    </row>
    <row r="422">
      <c r="A422" s="45"/>
      <c r="B422" s="45"/>
      <c r="C422" s="45"/>
    </row>
    <row r="423">
      <c r="A423" s="45"/>
      <c r="B423" s="45"/>
      <c r="C423" s="45"/>
    </row>
    <row r="424">
      <c r="A424" s="45"/>
      <c r="B424" s="45"/>
      <c r="C424" s="45"/>
    </row>
    <row r="425">
      <c r="A425" s="45"/>
      <c r="B425" s="45"/>
      <c r="C425" s="45"/>
    </row>
    <row r="426">
      <c r="A426" s="45"/>
      <c r="B426" s="45"/>
      <c r="C426" s="45"/>
    </row>
    <row r="427">
      <c r="A427" s="45"/>
      <c r="B427" s="45"/>
      <c r="C427" s="45"/>
    </row>
    <row r="428">
      <c r="A428" s="45"/>
      <c r="B428" s="45"/>
      <c r="C428" s="45"/>
    </row>
    <row r="429">
      <c r="A429" s="45"/>
      <c r="B429" s="45"/>
      <c r="C429" s="45"/>
    </row>
    <row r="430">
      <c r="A430" s="45"/>
      <c r="B430" s="45"/>
      <c r="C430" s="45"/>
    </row>
    <row r="431">
      <c r="A431" s="45"/>
      <c r="B431" s="45"/>
      <c r="C431" s="45"/>
    </row>
    <row r="432">
      <c r="A432" s="45"/>
      <c r="B432" s="45"/>
      <c r="C432" s="45"/>
    </row>
    <row r="433">
      <c r="A433" s="45"/>
      <c r="B433" s="45"/>
      <c r="C433" s="45"/>
    </row>
    <row r="434">
      <c r="A434" s="45"/>
      <c r="B434" s="45"/>
      <c r="C434" s="45"/>
    </row>
    <row r="435">
      <c r="A435" s="45"/>
      <c r="B435" s="45"/>
      <c r="C435" s="45"/>
    </row>
    <row r="436">
      <c r="A436" s="45"/>
      <c r="B436" s="45"/>
      <c r="C436" s="45"/>
    </row>
    <row r="437">
      <c r="A437" s="45"/>
      <c r="B437" s="45"/>
      <c r="C437" s="45"/>
    </row>
    <row r="438">
      <c r="A438" s="45"/>
      <c r="B438" s="45"/>
      <c r="C438" s="45"/>
    </row>
    <row r="439">
      <c r="A439" s="45"/>
      <c r="B439" s="45"/>
      <c r="C439" s="45"/>
    </row>
    <row r="440">
      <c r="A440" s="45"/>
      <c r="B440" s="45"/>
      <c r="C440" s="45"/>
    </row>
    <row r="441">
      <c r="A441" s="45"/>
      <c r="B441" s="45"/>
      <c r="C441" s="45"/>
    </row>
    <row r="442">
      <c r="A442" s="45"/>
      <c r="B442" s="45"/>
      <c r="C442" s="45"/>
    </row>
    <row r="443">
      <c r="A443" s="45"/>
      <c r="B443" s="45"/>
      <c r="C443" s="45"/>
    </row>
    <row r="444">
      <c r="A444" s="45"/>
      <c r="B444" s="45"/>
      <c r="C444" s="45"/>
    </row>
    <row r="445">
      <c r="A445" s="45"/>
      <c r="B445" s="45"/>
      <c r="C445" s="45"/>
    </row>
    <row r="446">
      <c r="A446" s="45"/>
      <c r="B446" s="45"/>
      <c r="C446" s="45"/>
    </row>
    <row r="447">
      <c r="A447" s="45"/>
      <c r="B447" s="45"/>
      <c r="C447" s="45"/>
    </row>
    <row r="448">
      <c r="A448" s="45"/>
      <c r="B448" s="45"/>
      <c r="C448" s="45"/>
    </row>
    <row r="449">
      <c r="A449" s="45"/>
      <c r="B449" s="45"/>
      <c r="C449" s="45"/>
    </row>
    <row r="450">
      <c r="A450" s="45"/>
      <c r="B450" s="45"/>
      <c r="C450" s="45"/>
    </row>
    <row r="451">
      <c r="A451" s="45"/>
      <c r="B451" s="45"/>
      <c r="C451" s="45"/>
    </row>
    <row r="452">
      <c r="A452" s="45"/>
      <c r="B452" s="45"/>
      <c r="C452" s="45"/>
    </row>
    <row r="453">
      <c r="A453" s="45"/>
      <c r="B453" s="45"/>
      <c r="C453" s="45"/>
    </row>
    <row r="454">
      <c r="A454" s="45"/>
      <c r="B454" s="45"/>
      <c r="C454" s="45"/>
    </row>
    <row r="455">
      <c r="A455" s="45"/>
      <c r="B455" s="45"/>
      <c r="C455" s="45"/>
    </row>
    <row r="456">
      <c r="A456" s="45"/>
      <c r="B456" s="45"/>
      <c r="C456" s="45"/>
    </row>
    <row r="457">
      <c r="A457" s="45"/>
      <c r="B457" s="45"/>
      <c r="C457" s="45"/>
    </row>
    <row r="458">
      <c r="A458" s="45"/>
      <c r="B458" s="45"/>
      <c r="C458" s="45"/>
    </row>
    <row r="459">
      <c r="A459" s="45"/>
      <c r="B459" s="45"/>
      <c r="C459" s="45"/>
    </row>
    <row r="460">
      <c r="A460" s="45"/>
      <c r="B460" s="45"/>
      <c r="C460" s="45"/>
    </row>
    <row r="461">
      <c r="A461" s="45"/>
      <c r="B461" s="45"/>
      <c r="C461" s="45"/>
    </row>
    <row r="462">
      <c r="A462" s="45"/>
      <c r="B462" s="45"/>
      <c r="C462" s="45"/>
    </row>
    <row r="463">
      <c r="A463" s="45"/>
      <c r="B463" s="45"/>
      <c r="C463" s="45"/>
    </row>
    <row r="464">
      <c r="A464" s="45"/>
      <c r="B464" s="45"/>
      <c r="C464" s="45"/>
    </row>
    <row r="465">
      <c r="A465" s="45"/>
      <c r="B465" s="45"/>
      <c r="C465" s="45"/>
    </row>
    <row r="466">
      <c r="A466" s="45"/>
      <c r="B466" s="45"/>
      <c r="C466" s="45"/>
    </row>
    <row r="467">
      <c r="A467" s="45"/>
      <c r="B467" s="45"/>
      <c r="C467" s="45"/>
    </row>
    <row r="468">
      <c r="A468" s="45"/>
      <c r="B468" s="45"/>
      <c r="C468" s="45"/>
    </row>
    <row r="469">
      <c r="A469" s="45"/>
      <c r="B469" s="45"/>
      <c r="C469" s="45"/>
    </row>
    <row r="470">
      <c r="A470" s="45"/>
      <c r="B470" s="45"/>
      <c r="C470" s="45"/>
    </row>
    <row r="471">
      <c r="A471" s="45"/>
      <c r="B471" s="45"/>
      <c r="C471" s="45"/>
    </row>
    <row r="472">
      <c r="A472" s="45"/>
      <c r="B472" s="45"/>
      <c r="C472" s="45"/>
    </row>
    <row r="473">
      <c r="A473" s="45"/>
      <c r="B473" s="45"/>
      <c r="C473" s="45"/>
    </row>
    <row r="474">
      <c r="A474" s="45"/>
      <c r="B474" s="45"/>
      <c r="C474" s="45"/>
    </row>
    <row r="475">
      <c r="A475" s="45"/>
      <c r="B475" s="45"/>
      <c r="C475" s="45"/>
    </row>
    <row r="476">
      <c r="A476" s="45"/>
      <c r="B476" s="45"/>
      <c r="C476" s="45"/>
    </row>
    <row r="477">
      <c r="A477" s="45"/>
      <c r="B477" s="45"/>
      <c r="C477" s="45"/>
    </row>
    <row r="478">
      <c r="A478" s="45"/>
      <c r="B478" s="45"/>
      <c r="C478" s="45"/>
    </row>
    <row r="479">
      <c r="A479" s="45"/>
      <c r="B479" s="45"/>
      <c r="C479" s="45"/>
    </row>
    <row r="480">
      <c r="A480" s="45"/>
      <c r="B480" s="45"/>
      <c r="C480" s="45"/>
    </row>
    <row r="481">
      <c r="A481" s="45"/>
      <c r="B481" s="45"/>
      <c r="C481" s="45"/>
    </row>
    <row r="482">
      <c r="A482" s="45"/>
      <c r="B482" s="45"/>
      <c r="C482" s="45"/>
    </row>
    <row r="483">
      <c r="A483" s="45"/>
      <c r="B483" s="45"/>
      <c r="C483" s="45"/>
    </row>
    <row r="484">
      <c r="A484" s="45"/>
      <c r="B484" s="45"/>
      <c r="C484" s="45"/>
    </row>
    <row r="485">
      <c r="A485" s="45"/>
      <c r="B485" s="45"/>
      <c r="C485" s="45"/>
    </row>
    <row r="486">
      <c r="A486" s="45"/>
      <c r="B486" s="45"/>
      <c r="C486" s="45"/>
    </row>
    <row r="487">
      <c r="A487" s="45"/>
      <c r="B487" s="45"/>
      <c r="C487" s="45"/>
    </row>
    <row r="488">
      <c r="A488" s="45"/>
      <c r="B488" s="45"/>
      <c r="C488" s="45"/>
    </row>
    <row r="489">
      <c r="A489" s="45"/>
      <c r="B489" s="45"/>
      <c r="C489" s="45"/>
    </row>
    <row r="490">
      <c r="A490" s="45"/>
      <c r="B490" s="45"/>
      <c r="C490" s="45"/>
    </row>
    <row r="491">
      <c r="A491" s="45"/>
      <c r="B491" s="45"/>
      <c r="C491" s="45"/>
    </row>
    <row r="492">
      <c r="A492" s="45"/>
      <c r="B492" s="45"/>
      <c r="C492" s="45"/>
    </row>
    <row r="493">
      <c r="A493" s="45"/>
      <c r="B493" s="45"/>
      <c r="C493" s="45"/>
    </row>
    <row r="494">
      <c r="A494" s="45"/>
      <c r="B494" s="45"/>
      <c r="C494" s="45"/>
    </row>
    <row r="495">
      <c r="A495" s="45"/>
      <c r="B495" s="45"/>
      <c r="C495" s="45"/>
    </row>
    <row r="496">
      <c r="A496" s="45"/>
      <c r="B496" s="45"/>
      <c r="C496" s="45"/>
    </row>
    <row r="497">
      <c r="A497" s="45"/>
      <c r="B497" s="45"/>
      <c r="C497" s="45"/>
    </row>
    <row r="498">
      <c r="A498" s="45"/>
      <c r="B498" s="45"/>
      <c r="C498" s="45"/>
    </row>
    <row r="499">
      <c r="A499" s="45"/>
      <c r="B499" s="45"/>
      <c r="C499" s="45"/>
    </row>
    <row r="500">
      <c r="A500" s="45"/>
      <c r="B500" s="45"/>
      <c r="C500" s="45"/>
    </row>
    <row r="501">
      <c r="A501" s="45"/>
      <c r="B501" s="45"/>
      <c r="C501" s="45"/>
    </row>
    <row r="502">
      <c r="A502" s="45"/>
      <c r="B502" s="45"/>
      <c r="C502" s="45"/>
    </row>
    <row r="503">
      <c r="A503" s="45"/>
      <c r="B503" s="45"/>
      <c r="C503" s="45"/>
    </row>
    <row r="504">
      <c r="A504" s="45"/>
      <c r="B504" s="45"/>
      <c r="C504" s="45"/>
    </row>
    <row r="505">
      <c r="A505" s="45"/>
      <c r="B505" s="45"/>
      <c r="C505" s="45"/>
    </row>
    <row r="506">
      <c r="A506" s="45"/>
      <c r="B506" s="45"/>
      <c r="C506" s="45"/>
    </row>
    <row r="507">
      <c r="A507" s="45"/>
      <c r="B507" s="45"/>
      <c r="C507" s="45"/>
    </row>
    <row r="508">
      <c r="A508" s="45"/>
      <c r="B508" s="45"/>
      <c r="C508" s="45"/>
    </row>
    <row r="509">
      <c r="A509" s="45"/>
      <c r="B509" s="45"/>
      <c r="C509" s="45"/>
    </row>
    <row r="510">
      <c r="A510" s="45"/>
      <c r="B510" s="45"/>
      <c r="C510" s="45"/>
    </row>
    <row r="511">
      <c r="A511" s="45"/>
      <c r="B511" s="45"/>
      <c r="C511" s="45"/>
    </row>
    <row r="512">
      <c r="A512" s="45"/>
      <c r="B512" s="45"/>
      <c r="C512" s="45"/>
    </row>
    <row r="513">
      <c r="A513" s="45"/>
      <c r="B513" s="45"/>
      <c r="C513" s="45"/>
    </row>
    <row r="514">
      <c r="A514" s="45"/>
      <c r="B514" s="45"/>
      <c r="C514" s="45"/>
    </row>
    <row r="515">
      <c r="A515" s="45"/>
      <c r="B515" s="45"/>
      <c r="C515" s="45"/>
    </row>
    <row r="516">
      <c r="A516" s="45"/>
      <c r="B516" s="45"/>
      <c r="C516" s="45"/>
    </row>
    <row r="517">
      <c r="A517" s="45"/>
      <c r="B517" s="45"/>
      <c r="C517" s="45"/>
    </row>
    <row r="518">
      <c r="A518" s="45"/>
      <c r="B518" s="45"/>
      <c r="C518" s="45"/>
    </row>
    <row r="519">
      <c r="A519" s="45"/>
      <c r="B519" s="45"/>
      <c r="C519" s="45"/>
    </row>
    <row r="520">
      <c r="A520" s="45"/>
      <c r="B520" s="45"/>
      <c r="C520" s="45"/>
    </row>
    <row r="521">
      <c r="A521" s="45"/>
      <c r="B521" s="45"/>
      <c r="C521" s="45"/>
    </row>
    <row r="522">
      <c r="A522" s="45"/>
      <c r="B522" s="45"/>
      <c r="C522" s="45"/>
    </row>
    <row r="523">
      <c r="A523" s="45"/>
      <c r="B523" s="45"/>
      <c r="C523" s="45"/>
    </row>
    <row r="524">
      <c r="A524" s="45"/>
      <c r="B524" s="45"/>
      <c r="C524" s="45"/>
    </row>
    <row r="525">
      <c r="A525" s="45"/>
      <c r="B525" s="45"/>
      <c r="C525" s="45"/>
    </row>
    <row r="526">
      <c r="A526" s="45"/>
      <c r="B526" s="45"/>
      <c r="C526" s="45"/>
    </row>
    <row r="527">
      <c r="A527" s="45"/>
      <c r="B527" s="45"/>
      <c r="C527" s="45"/>
    </row>
    <row r="528">
      <c r="A528" s="45"/>
      <c r="B528" s="45"/>
      <c r="C528" s="45"/>
    </row>
    <row r="529">
      <c r="A529" s="45"/>
      <c r="B529" s="45"/>
      <c r="C529" s="45"/>
    </row>
    <row r="530">
      <c r="A530" s="45"/>
      <c r="B530" s="45"/>
      <c r="C530" s="45"/>
    </row>
    <row r="531">
      <c r="A531" s="45"/>
      <c r="B531" s="45"/>
      <c r="C531" s="45"/>
    </row>
    <row r="532">
      <c r="A532" s="45"/>
      <c r="B532" s="45"/>
      <c r="C532" s="45"/>
    </row>
    <row r="533">
      <c r="A533" s="45"/>
      <c r="B533" s="45"/>
      <c r="C533" s="45"/>
    </row>
    <row r="534">
      <c r="A534" s="45"/>
      <c r="B534" s="45"/>
      <c r="C534" s="45"/>
    </row>
    <row r="535">
      <c r="A535" s="45"/>
      <c r="B535" s="45"/>
      <c r="C535" s="45"/>
    </row>
    <row r="536">
      <c r="A536" s="45"/>
      <c r="B536" s="45"/>
      <c r="C536" s="45"/>
    </row>
    <row r="537">
      <c r="A537" s="45"/>
      <c r="B537" s="45"/>
      <c r="C537" s="45"/>
    </row>
    <row r="538">
      <c r="A538" s="45"/>
      <c r="B538" s="45"/>
      <c r="C538" s="45"/>
    </row>
    <row r="539">
      <c r="A539" s="45"/>
      <c r="B539" s="45"/>
      <c r="C539" s="45"/>
    </row>
    <row r="540">
      <c r="A540" s="45"/>
      <c r="B540" s="45"/>
      <c r="C540" s="45"/>
    </row>
    <row r="541">
      <c r="A541" s="45"/>
      <c r="B541" s="45"/>
      <c r="C541" s="45"/>
    </row>
    <row r="542">
      <c r="A542" s="45"/>
      <c r="B542" s="45"/>
      <c r="C542" s="45"/>
    </row>
    <row r="543">
      <c r="A543" s="45"/>
      <c r="B543" s="45"/>
      <c r="C543" s="45"/>
    </row>
    <row r="544">
      <c r="A544" s="45"/>
      <c r="B544" s="45"/>
      <c r="C544" s="45"/>
    </row>
    <row r="545">
      <c r="A545" s="45"/>
      <c r="B545" s="45"/>
      <c r="C545" s="45"/>
    </row>
    <row r="546">
      <c r="A546" s="45"/>
      <c r="B546" s="45"/>
      <c r="C546" s="45"/>
    </row>
    <row r="547">
      <c r="A547" s="45"/>
      <c r="B547" s="45"/>
      <c r="C547" s="45"/>
    </row>
    <row r="548">
      <c r="A548" s="45"/>
      <c r="B548" s="45"/>
      <c r="C548" s="45"/>
    </row>
    <row r="549">
      <c r="A549" s="45"/>
      <c r="B549" s="45"/>
      <c r="C549" s="45"/>
    </row>
    <row r="550">
      <c r="A550" s="45"/>
      <c r="B550" s="45"/>
      <c r="C550" s="45"/>
    </row>
    <row r="551">
      <c r="A551" s="45"/>
      <c r="B551" s="45"/>
      <c r="C551" s="45"/>
    </row>
    <row r="552">
      <c r="A552" s="45"/>
      <c r="B552" s="45"/>
      <c r="C552" s="45"/>
    </row>
    <row r="553">
      <c r="A553" s="45"/>
      <c r="B553" s="45"/>
      <c r="C553" s="45"/>
    </row>
    <row r="554">
      <c r="A554" s="45"/>
      <c r="B554" s="45"/>
      <c r="C554" s="45"/>
    </row>
    <row r="555">
      <c r="A555" s="45"/>
      <c r="B555" s="45"/>
      <c r="C555" s="45"/>
    </row>
    <row r="556">
      <c r="A556" s="45"/>
      <c r="B556" s="45"/>
      <c r="C556" s="45"/>
    </row>
    <row r="557">
      <c r="A557" s="45"/>
      <c r="B557" s="45"/>
      <c r="C557" s="45"/>
    </row>
    <row r="558">
      <c r="A558" s="45"/>
      <c r="B558" s="45"/>
      <c r="C558" s="45"/>
    </row>
    <row r="559">
      <c r="A559" s="45"/>
      <c r="B559" s="45"/>
      <c r="C559" s="45"/>
    </row>
    <row r="560">
      <c r="A560" s="45"/>
      <c r="B560" s="45"/>
      <c r="C560" s="45"/>
    </row>
    <row r="561">
      <c r="A561" s="45"/>
      <c r="B561" s="45"/>
      <c r="C561" s="45"/>
    </row>
    <row r="562">
      <c r="A562" s="45"/>
      <c r="B562" s="45"/>
      <c r="C562" s="45"/>
    </row>
    <row r="563">
      <c r="A563" s="45"/>
      <c r="B563" s="45"/>
      <c r="C563" s="45"/>
    </row>
    <row r="564">
      <c r="A564" s="45"/>
      <c r="B564" s="45"/>
      <c r="C564" s="45"/>
    </row>
    <row r="565">
      <c r="A565" s="45"/>
      <c r="B565" s="45"/>
      <c r="C565" s="45"/>
    </row>
    <row r="566">
      <c r="A566" s="45"/>
      <c r="B566" s="45"/>
      <c r="C566" s="45"/>
    </row>
    <row r="567">
      <c r="A567" s="45"/>
      <c r="B567" s="45"/>
      <c r="C567" s="45"/>
    </row>
    <row r="568">
      <c r="A568" s="45"/>
      <c r="B568" s="45"/>
      <c r="C568" s="45"/>
    </row>
    <row r="569">
      <c r="A569" s="45"/>
      <c r="B569" s="45"/>
      <c r="C569" s="45"/>
    </row>
    <row r="570">
      <c r="A570" s="45"/>
      <c r="B570" s="45"/>
      <c r="C570" s="45"/>
    </row>
    <row r="571">
      <c r="A571" s="45"/>
      <c r="B571" s="45"/>
      <c r="C571" s="45"/>
    </row>
    <row r="572">
      <c r="A572" s="45"/>
      <c r="B572" s="45"/>
      <c r="C572" s="45"/>
    </row>
    <row r="573">
      <c r="A573" s="45"/>
      <c r="B573" s="45"/>
      <c r="C573" s="45"/>
    </row>
    <row r="574">
      <c r="A574" s="45"/>
      <c r="B574" s="45"/>
      <c r="C574" s="45"/>
    </row>
    <row r="575">
      <c r="A575" s="45"/>
      <c r="B575" s="45"/>
      <c r="C575" s="45"/>
    </row>
    <row r="576">
      <c r="A576" s="45"/>
      <c r="B576" s="45"/>
      <c r="C576" s="45"/>
    </row>
    <row r="577">
      <c r="A577" s="45"/>
      <c r="B577" s="45"/>
      <c r="C577" s="45"/>
    </row>
    <row r="578">
      <c r="A578" s="45"/>
      <c r="B578" s="45"/>
      <c r="C578" s="45"/>
    </row>
    <row r="579">
      <c r="A579" s="45"/>
      <c r="B579" s="45"/>
      <c r="C579" s="45"/>
    </row>
    <row r="580">
      <c r="A580" s="45"/>
      <c r="B580" s="45"/>
      <c r="C580" s="45"/>
    </row>
    <row r="581">
      <c r="A581" s="45"/>
      <c r="B581" s="45"/>
      <c r="C581" s="45"/>
    </row>
    <row r="582">
      <c r="A582" s="45"/>
      <c r="B582" s="45"/>
      <c r="C582" s="45"/>
    </row>
    <row r="583">
      <c r="A583" s="45"/>
      <c r="B583" s="45"/>
      <c r="C583" s="45"/>
    </row>
    <row r="584">
      <c r="A584" s="45"/>
      <c r="B584" s="45"/>
      <c r="C584" s="45"/>
    </row>
    <row r="585">
      <c r="A585" s="45"/>
      <c r="B585" s="45"/>
      <c r="C585" s="45"/>
    </row>
    <row r="586">
      <c r="A586" s="45"/>
      <c r="B586" s="45"/>
      <c r="C586" s="45"/>
    </row>
    <row r="587">
      <c r="A587" s="45"/>
      <c r="B587" s="45"/>
      <c r="C587" s="45"/>
    </row>
    <row r="588">
      <c r="A588" s="45"/>
      <c r="B588" s="45"/>
      <c r="C588" s="45"/>
    </row>
    <row r="589">
      <c r="A589" s="45"/>
      <c r="B589" s="45"/>
      <c r="C589" s="45"/>
    </row>
    <row r="590">
      <c r="A590" s="45"/>
      <c r="B590" s="45"/>
      <c r="C590" s="45"/>
    </row>
    <row r="591">
      <c r="A591" s="45"/>
      <c r="B591" s="45"/>
      <c r="C591" s="45"/>
    </row>
    <row r="592">
      <c r="A592" s="45"/>
      <c r="B592" s="45"/>
      <c r="C592" s="45"/>
    </row>
    <row r="593">
      <c r="A593" s="45"/>
      <c r="B593" s="45"/>
      <c r="C593" s="45"/>
    </row>
    <row r="594">
      <c r="A594" s="45"/>
      <c r="B594" s="45"/>
      <c r="C594" s="45"/>
    </row>
    <row r="595">
      <c r="A595" s="45"/>
      <c r="B595" s="45"/>
      <c r="C595" s="45"/>
    </row>
    <row r="596">
      <c r="A596" s="45"/>
      <c r="B596" s="45"/>
      <c r="C596" s="45"/>
    </row>
    <row r="597">
      <c r="A597" s="45"/>
      <c r="B597" s="45"/>
      <c r="C597" s="45"/>
    </row>
    <row r="598">
      <c r="A598" s="45"/>
      <c r="B598" s="45"/>
      <c r="C598" s="45"/>
    </row>
    <row r="599">
      <c r="A599" s="45"/>
      <c r="B599" s="45"/>
      <c r="C599" s="45"/>
    </row>
    <row r="600">
      <c r="A600" s="45"/>
      <c r="B600" s="45"/>
      <c r="C600" s="45"/>
    </row>
    <row r="601">
      <c r="A601" s="45"/>
      <c r="B601" s="45"/>
      <c r="C601" s="45"/>
    </row>
    <row r="602">
      <c r="A602" s="45"/>
      <c r="B602" s="45"/>
      <c r="C602" s="45"/>
    </row>
    <row r="603">
      <c r="A603" s="45"/>
      <c r="B603" s="45"/>
      <c r="C603" s="45"/>
    </row>
    <row r="604">
      <c r="A604" s="45"/>
      <c r="B604" s="45"/>
      <c r="C604" s="45"/>
    </row>
    <row r="605">
      <c r="A605" s="45"/>
      <c r="B605" s="45"/>
      <c r="C605" s="45"/>
    </row>
    <row r="606">
      <c r="A606" s="45"/>
      <c r="B606" s="45"/>
      <c r="C606" s="45"/>
    </row>
    <row r="607">
      <c r="A607" s="45"/>
      <c r="B607" s="45"/>
      <c r="C607" s="45"/>
    </row>
    <row r="608">
      <c r="A608" s="45"/>
      <c r="B608" s="45"/>
      <c r="C608" s="45"/>
    </row>
    <row r="609">
      <c r="A609" s="45"/>
      <c r="B609" s="45"/>
      <c r="C609" s="45"/>
    </row>
    <row r="610">
      <c r="A610" s="45"/>
      <c r="B610" s="45"/>
      <c r="C610" s="45"/>
    </row>
    <row r="611">
      <c r="A611" s="45"/>
      <c r="B611" s="45"/>
      <c r="C611" s="45"/>
    </row>
    <row r="612">
      <c r="A612" s="45"/>
      <c r="B612" s="45"/>
      <c r="C612" s="45"/>
    </row>
    <row r="613">
      <c r="A613" s="45"/>
      <c r="B613" s="45"/>
      <c r="C613" s="45"/>
    </row>
    <row r="614">
      <c r="A614" s="45"/>
      <c r="B614" s="45"/>
      <c r="C614" s="45"/>
    </row>
    <row r="615">
      <c r="A615" s="45"/>
      <c r="B615" s="45"/>
      <c r="C615" s="45"/>
    </row>
    <row r="616">
      <c r="A616" s="45"/>
      <c r="B616" s="45"/>
      <c r="C616" s="45"/>
    </row>
    <row r="617">
      <c r="A617" s="45"/>
      <c r="B617" s="45"/>
      <c r="C617" s="45"/>
    </row>
    <row r="618">
      <c r="A618" s="45"/>
      <c r="B618" s="45"/>
      <c r="C618" s="45"/>
    </row>
    <row r="619">
      <c r="A619" s="45"/>
      <c r="B619" s="45"/>
      <c r="C619" s="45"/>
    </row>
    <row r="620">
      <c r="A620" s="45"/>
      <c r="B620" s="45"/>
      <c r="C620" s="45"/>
    </row>
    <row r="621">
      <c r="A621" s="45"/>
      <c r="B621" s="45"/>
      <c r="C621" s="45"/>
    </row>
    <row r="622">
      <c r="A622" s="45"/>
      <c r="B622" s="45"/>
      <c r="C622" s="45"/>
    </row>
    <row r="623">
      <c r="A623" s="45"/>
      <c r="B623" s="45"/>
      <c r="C623" s="45"/>
    </row>
    <row r="624">
      <c r="A624" s="45"/>
      <c r="B624" s="45"/>
      <c r="C624" s="45"/>
    </row>
    <row r="625">
      <c r="A625" s="45"/>
      <c r="B625" s="45"/>
      <c r="C625" s="45"/>
    </row>
    <row r="626">
      <c r="A626" s="45"/>
      <c r="B626" s="45"/>
      <c r="C626" s="45"/>
    </row>
    <row r="627">
      <c r="A627" s="45"/>
      <c r="B627" s="45"/>
      <c r="C627" s="45"/>
    </row>
    <row r="628">
      <c r="A628" s="45"/>
      <c r="B628" s="45"/>
      <c r="C628" s="45"/>
    </row>
    <row r="629">
      <c r="A629" s="45"/>
      <c r="B629" s="45"/>
      <c r="C629" s="45"/>
    </row>
    <row r="630">
      <c r="A630" s="45"/>
      <c r="B630" s="45"/>
      <c r="C630" s="45"/>
    </row>
    <row r="631">
      <c r="A631" s="45"/>
      <c r="B631" s="45"/>
      <c r="C631" s="45"/>
    </row>
    <row r="632">
      <c r="A632" s="45"/>
      <c r="B632" s="45"/>
      <c r="C632" s="45"/>
    </row>
    <row r="633">
      <c r="A633" s="45"/>
      <c r="B633" s="45"/>
      <c r="C633" s="45"/>
    </row>
    <row r="634">
      <c r="A634" s="45"/>
      <c r="B634" s="45"/>
      <c r="C634" s="45"/>
    </row>
    <row r="635">
      <c r="A635" s="45"/>
      <c r="B635" s="45"/>
      <c r="C635" s="45"/>
    </row>
    <row r="636">
      <c r="A636" s="45"/>
      <c r="B636" s="45"/>
      <c r="C636" s="45"/>
    </row>
    <row r="637">
      <c r="A637" s="45"/>
      <c r="B637" s="45"/>
      <c r="C637" s="45"/>
    </row>
    <row r="638">
      <c r="A638" s="45"/>
      <c r="B638" s="45"/>
      <c r="C638" s="45"/>
    </row>
    <row r="639">
      <c r="A639" s="45"/>
      <c r="B639" s="45"/>
      <c r="C639" s="45"/>
    </row>
    <row r="640">
      <c r="A640" s="45"/>
      <c r="B640" s="45"/>
      <c r="C640" s="45"/>
    </row>
    <row r="641">
      <c r="A641" s="45"/>
      <c r="B641" s="45"/>
      <c r="C641" s="45"/>
    </row>
    <row r="642">
      <c r="A642" s="45"/>
      <c r="B642" s="45"/>
      <c r="C642" s="45"/>
    </row>
    <row r="643">
      <c r="A643" s="45"/>
      <c r="B643" s="45"/>
      <c r="C643" s="45"/>
    </row>
    <row r="644">
      <c r="A644" s="45"/>
      <c r="B644" s="45"/>
      <c r="C644" s="45"/>
    </row>
    <row r="645">
      <c r="A645" s="45"/>
      <c r="B645" s="45"/>
      <c r="C645" s="45"/>
    </row>
    <row r="646">
      <c r="A646" s="45"/>
      <c r="B646" s="45"/>
      <c r="C646" s="45"/>
    </row>
    <row r="647">
      <c r="A647" s="45"/>
      <c r="B647" s="45"/>
      <c r="C647" s="45"/>
    </row>
    <row r="648">
      <c r="A648" s="45"/>
      <c r="B648" s="45"/>
      <c r="C648" s="45"/>
    </row>
    <row r="649">
      <c r="A649" s="45"/>
      <c r="B649" s="45"/>
      <c r="C649" s="45"/>
    </row>
    <row r="650">
      <c r="A650" s="45"/>
      <c r="B650" s="45"/>
      <c r="C650" s="45"/>
    </row>
    <row r="651">
      <c r="A651" s="45"/>
      <c r="B651" s="45"/>
      <c r="C651" s="45"/>
    </row>
    <row r="652">
      <c r="A652" s="45"/>
      <c r="B652" s="45"/>
      <c r="C652" s="45"/>
    </row>
    <row r="653">
      <c r="A653" s="45"/>
      <c r="B653" s="45"/>
      <c r="C653" s="45"/>
    </row>
    <row r="654">
      <c r="A654" s="45"/>
      <c r="B654" s="45"/>
      <c r="C654" s="45"/>
    </row>
    <row r="655">
      <c r="A655" s="45"/>
      <c r="B655" s="45"/>
      <c r="C655" s="45"/>
    </row>
    <row r="656">
      <c r="A656" s="45"/>
      <c r="B656" s="45"/>
      <c r="C656" s="45"/>
    </row>
    <row r="657">
      <c r="A657" s="45"/>
      <c r="B657" s="45"/>
      <c r="C657" s="45"/>
    </row>
    <row r="658">
      <c r="A658" s="45"/>
      <c r="B658" s="45"/>
      <c r="C658" s="45"/>
    </row>
    <row r="659">
      <c r="A659" s="45"/>
      <c r="B659" s="45"/>
      <c r="C659" s="45"/>
    </row>
    <row r="660">
      <c r="A660" s="45"/>
      <c r="B660" s="45"/>
      <c r="C660" s="45"/>
    </row>
    <row r="661">
      <c r="A661" s="45"/>
      <c r="B661" s="45"/>
      <c r="C661" s="45"/>
    </row>
    <row r="662">
      <c r="A662" s="45"/>
      <c r="B662" s="45"/>
      <c r="C662" s="45"/>
    </row>
    <row r="663">
      <c r="A663" s="45"/>
      <c r="B663" s="45"/>
      <c r="C663" s="45"/>
    </row>
    <row r="664">
      <c r="A664" s="45"/>
      <c r="B664" s="45"/>
      <c r="C664" s="45"/>
    </row>
    <row r="665">
      <c r="A665" s="45"/>
      <c r="B665" s="45"/>
      <c r="C665" s="45"/>
    </row>
    <row r="666">
      <c r="A666" s="45"/>
      <c r="B666" s="45"/>
      <c r="C666" s="45"/>
    </row>
    <row r="667">
      <c r="A667" s="45"/>
      <c r="B667" s="45"/>
      <c r="C667" s="45"/>
    </row>
    <row r="668">
      <c r="A668" s="45"/>
      <c r="B668" s="45"/>
      <c r="C668" s="45"/>
    </row>
    <row r="669">
      <c r="A669" s="45"/>
      <c r="B669" s="45"/>
      <c r="C669" s="45"/>
    </row>
    <row r="670">
      <c r="A670" s="45"/>
      <c r="B670" s="45"/>
      <c r="C670" s="45"/>
    </row>
    <row r="671">
      <c r="A671" s="45"/>
      <c r="B671" s="45"/>
      <c r="C671" s="45"/>
    </row>
    <row r="672">
      <c r="A672" s="45"/>
      <c r="B672" s="45"/>
      <c r="C672" s="45"/>
    </row>
    <row r="673">
      <c r="A673" s="45"/>
      <c r="B673" s="45"/>
      <c r="C673" s="45"/>
    </row>
    <row r="674">
      <c r="A674" s="45"/>
      <c r="B674" s="45"/>
      <c r="C674" s="45"/>
    </row>
    <row r="675">
      <c r="A675" s="45"/>
      <c r="B675" s="45"/>
      <c r="C675" s="45"/>
    </row>
    <row r="676">
      <c r="A676" s="45"/>
      <c r="B676" s="45"/>
      <c r="C676" s="45"/>
    </row>
    <row r="677">
      <c r="A677" s="45"/>
      <c r="B677" s="45"/>
      <c r="C677" s="45"/>
    </row>
    <row r="678">
      <c r="A678" s="45"/>
      <c r="B678" s="45"/>
      <c r="C678" s="45"/>
    </row>
    <row r="679">
      <c r="A679" s="45"/>
      <c r="B679" s="45"/>
      <c r="C679" s="45"/>
    </row>
    <row r="680">
      <c r="A680" s="45"/>
      <c r="B680" s="45"/>
      <c r="C680" s="45"/>
    </row>
    <row r="681">
      <c r="A681" s="45"/>
      <c r="B681" s="45"/>
      <c r="C681" s="45"/>
    </row>
    <row r="682">
      <c r="A682" s="45"/>
      <c r="B682" s="45"/>
      <c r="C682" s="45"/>
    </row>
    <row r="683">
      <c r="A683" s="45"/>
      <c r="B683" s="45"/>
      <c r="C683" s="45"/>
    </row>
    <row r="684">
      <c r="A684" s="45"/>
      <c r="B684" s="45"/>
      <c r="C684" s="45"/>
    </row>
    <row r="685">
      <c r="A685" s="45"/>
      <c r="B685" s="45"/>
      <c r="C685" s="45"/>
    </row>
    <row r="686">
      <c r="A686" s="45"/>
      <c r="B686" s="45"/>
      <c r="C686" s="45"/>
    </row>
    <row r="687">
      <c r="A687" s="45"/>
      <c r="B687" s="45"/>
      <c r="C687" s="45"/>
    </row>
    <row r="688">
      <c r="A688" s="45"/>
      <c r="B688" s="45"/>
      <c r="C688" s="45"/>
    </row>
    <row r="689">
      <c r="A689" s="45"/>
      <c r="B689" s="45"/>
      <c r="C689" s="45"/>
    </row>
    <row r="690">
      <c r="A690" s="45"/>
      <c r="B690" s="45"/>
      <c r="C690" s="45"/>
    </row>
    <row r="691">
      <c r="A691" s="45"/>
      <c r="B691" s="45"/>
      <c r="C691" s="45"/>
    </row>
    <row r="692">
      <c r="A692" s="45"/>
      <c r="B692" s="45"/>
      <c r="C692" s="45"/>
    </row>
    <row r="693">
      <c r="A693" s="45"/>
      <c r="B693" s="45"/>
      <c r="C693" s="45"/>
    </row>
    <row r="694">
      <c r="A694" s="45"/>
      <c r="B694" s="45"/>
      <c r="C694" s="45"/>
    </row>
    <row r="695">
      <c r="A695" s="45"/>
      <c r="B695" s="45"/>
      <c r="C695" s="45"/>
    </row>
    <row r="696">
      <c r="A696" s="45"/>
      <c r="B696" s="45"/>
      <c r="C696" s="45"/>
    </row>
    <row r="697">
      <c r="A697" s="45"/>
      <c r="B697" s="45"/>
      <c r="C697" s="45"/>
    </row>
    <row r="698">
      <c r="A698" s="45"/>
      <c r="B698" s="45"/>
      <c r="C698" s="45"/>
    </row>
    <row r="699">
      <c r="A699" s="45"/>
      <c r="B699" s="45"/>
      <c r="C699" s="45"/>
    </row>
    <row r="700">
      <c r="A700" s="45"/>
      <c r="B700" s="45"/>
      <c r="C700" s="45"/>
    </row>
    <row r="701">
      <c r="A701" s="45"/>
      <c r="B701" s="45"/>
      <c r="C701" s="45"/>
    </row>
    <row r="702">
      <c r="A702" s="45"/>
      <c r="B702" s="45"/>
      <c r="C702" s="45"/>
    </row>
    <row r="703">
      <c r="A703" s="45"/>
      <c r="B703" s="45"/>
      <c r="C703" s="45"/>
    </row>
    <row r="704">
      <c r="A704" s="45"/>
      <c r="B704" s="45"/>
      <c r="C704" s="45"/>
    </row>
    <row r="705">
      <c r="A705" s="45"/>
      <c r="B705" s="45"/>
      <c r="C705" s="45"/>
    </row>
    <row r="706">
      <c r="A706" s="45"/>
      <c r="B706" s="45"/>
      <c r="C706" s="45"/>
    </row>
    <row r="707">
      <c r="A707" s="45"/>
      <c r="B707" s="45"/>
      <c r="C707" s="45"/>
    </row>
    <row r="708">
      <c r="A708" s="45"/>
      <c r="B708" s="45"/>
      <c r="C708" s="45"/>
    </row>
    <row r="709">
      <c r="A709" s="45"/>
      <c r="B709" s="45"/>
      <c r="C709" s="45"/>
    </row>
    <row r="710">
      <c r="A710" s="45"/>
      <c r="B710" s="45"/>
      <c r="C710" s="45"/>
    </row>
    <row r="711">
      <c r="A711" s="45"/>
      <c r="B711" s="45"/>
      <c r="C711" s="45"/>
    </row>
    <row r="712">
      <c r="A712" s="45"/>
      <c r="B712" s="45"/>
      <c r="C712" s="45"/>
    </row>
    <row r="713">
      <c r="A713" s="45"/>
      <c r="B713" s="45"/>
      <c r="C713" s="45"/>
    </row>
    <row r="714">
      <c r="A714" s="45"/>
      <c r="B714" s="45"/>
      <c r="C714" s="45"/>
    </row>
    <row r="715">
      <c r="A715" s="45"/>
      <c r="B715" s="45"/>
      <c r="C715" s="45"/>
    </row>
    <row r="716">
      <c r="A716" s="45"/>
      <c r="B716" s="45"/>
      <c r="C716" s="45"/>
    </row>
    <row r="717">
      <c r="A717" s="45"/>
      <c r="B717" s="45"/>
      <c r="C717" s="45"/>
    </row>
    <row r="718">
      <c r="A718" s="45"/>
      <c r="B718" s="45"/>
      <c r="C718" s="45"/>
    </row>
    <row r="719">
      <c r="A719" s="45"/>
      <c r="B719" s="45"/>
      <c r="C719" s="45"/>
    </row>
    <row r="720">
      <c r="A720" s="45"/>
      <c r="B720" s="45"/>
      <c r="C720" s="45"/>
    </row>
    <row r="721">
      <c r="A721" s="45"/>
      <c r="B721" s="45"/>
      <c r="C721" s="45"/>
    </row>
    <row r="722">
      <c r="A722" s="45"/>
      <c r="B722" s="45"/>
      <c r="C722" s="45"/>
    </row>
    <row r="723">
      <c r="A723" s="45"/>
      <c r="B723" s="45"/>
      <c r="C723" s="45"/>
    </row>
    <row r="724">
      <c r="A724" s="45"/>
      <c r="B724" s="45"/>
      <c r="C724" s="45"/>
    </row>
    <row r="725">
      <c r="A725" s="45"/>
      <c r="B725" s="45"/>
      <c r="C725" s="45"/>
    </row>
    <row r="726">
      <c r="A726" s="45"/>
      <c r="B726" s="45"/>
      <c r="C726" s="45"/>
    </row>
    <row r="727">
      <c r="A727" s="45"/>
      <c r="B727" s="45"/>
      <c r="C727" s="45"/>
    </row>
    <row r="728">
      <c r="A728" s="45"/>
      <c r="B728" s="45"/>
      <c r="C728" s="45"/>
    </row>
    <row r="729">
      <c r="A729" s="45"/>
      <c r="B729" s="45"/>
      <c r="C729" s="45"/>
    </row>
    <row r="730">
      <c r="A730" s="45"/>
      <c r="B730" s="45"/>
      <c r="C730" s="45"/>
    </row>
    <row r="731">
      <c r="A731" s="45"/>
      <c r="B731" s="45"/>
      <c r="C731" s="45"/>
    </row>
    <row r="732">
      <c r="A732" s="45"/>
      <c r="B732" s="45"/>
      <c r="C732" s="45"/>
    </row>
    <row r="733">
      <c r="A733" s="45"/>
      <c r="B733" s="45"/>
      <c r="C733" s="45"/>
    </row>
    <row r="734">
      <c r="A734" s="45"/>
      <c r="B734" s="45"/>
      <c r="C734" s="45"/>
    </row>
    <row r="735">
      <c r="A735" s="45"/>
      <c r="B735" s="45"/>
      <c r="C735" s="45"/>
    </row>
    <row r="736">
      <c r="A736" s="45"/>
      <c r="B736" s="45"/>
      <c r="C736" s="45"/>
    </row>
    <row r="737">
      <c r="A737" s="45"/>
      <c r="B737" s="45"/>
      <c r="C737" s="45"/>
    </row>
    <row r="738">
      <c r="A738" s="45"/>
      <c r="B738" s="45"/>
      <c r="C738" s="45"/>
    </row>
    <row r="739">
      <c r="A739" s="45"/>
      <c r="B739" s="45"/>
      <c r="C739" s="45"/>
    </row>
    <row r="740">
      <c r="A740" s="45"/>
      <c r="B740" s="45"/>
      <c r="C740" s="45"/>
    </row>
    <row r="741">
      <c r="A741" s="45"/>
      <c r="B741" s="45"/>
      <c r="C741" s="45"/>
    </row>
    <row r="742">
      <c r="A742" s="45"/>
      <c r="B742" s="45"/>
      <c r="C742" s="45"/>
    </row>
    <row r="743">
      <c r="A743" s="45"/>
      <c r="B743" s="45"/>
      <c r="C743" s="45"/>
    </row>
    <row r="744">
      <c r="A744" s="45"/>
      <c r="B744" s="45"/>
      <c r="C744" s="45"/>
    </row>
    <row r="745">
      <c r="A745" s="45"/>
      <c r="B745" s="45"/>
      <c r="C745" s="45"/>
    </row>
    <row r="746">
      <c r="A746" s="45"/>
      <c r="B746" s="45"/>
      <c r="C746" s="45"/>
    </row>
    <row r="747">
      <c r="A747" s="45"/>
      <c r="B747" s="45"/>
      <c r="C747" s="45"/>
    </row>
    <row r="748">
      <c r="A748" s="45"/>
      <c r="B748" s="45"/>
      <c r="C748" s="45"/>
    </row>
    <row r="749">
      <c r="A749" s="45"/>
      <c r="B749" s="45"/>
      <c r="C749" s="45"/>
    </row>
    <row r="750">
      <c r="A750" s="45"/>
      <c r="B750" s="45"/>
      <c r="C750" s="45"/>
    </row>
    <row r="751">
      <c r="A751" s="45"/>
      <c r="B751" s="45"/>
      <c r="C751" s="45"/>
    </row>
    <row r="752">
      <c r="A752" s="45"/>
      <c r="B752" s="45"/>
      <c r="C752" s="45"/>
    </row>
    <row r="753">
      <c r="A753" s="45"/>
      <c r="B753" s="45"/>
      <c r="C753" s="45"/>
    </row>
    <row r="754">
      <c r="A754" s="45"/>
      <c r="B754" s="45"/>
      <c r="C754" s="45"/>
    </row>
    <row r="755">
      <c r="A755" s="45"/>
      <c r="B755" s="45"/>
      <c r="C755" s="45"/>
    </row>
    <row r="756">
      <c r="A756" s="45"/>
      <c r="B756" s="45"/>
      <c r="C756" s="45"/>
    </row>
    <row r="757">
      <c r="A757" s="45"/>
      <c r="B757" s="45"/>
      <c r="C757" s="45"/>
    </row>
    <row r="758">
      <c r="A758" s="45"/>
      <c r="B758" s="45"/>
      <c r="C758" s="45"/>
    </row>
    <row r="759">
      <c r="A759" s="45"/>
      <c r="B759" s="45"/>
      <c r="C759" s="45"/>
    </row>
    <row r="760">
      <c r="A760" s="45"/>
      <c r="B760" s="45"/>
      <c r="C760" s="45"/>
    </row>
    <row r="761">
      <c r="A761" s="45"/>
      <c r="B761" s="45"/>
      <c r="C761" s="45"/>
    </row>
    <row r="762">
      <c r="A762" s="45"/>
      <c r="B762" s="45"/>
      <c r="C762" s="45"/>
    </row>
    <row r="763">
      <c r="A763" s="45"/>
      <c r="B763" s="45"/>
      <c r="C763" s="45"/>
    </row>
    <row r="764">
      <c r="A764" s="45"/>
      <c r="B764" s="45"/>
      <c r="C764" s="45"/>
    </row>
    <row r="765">
      <c r="A765" s="45"/>
      <c r="B765" s="45"/>
      <c r="C765" s="45"/>
    </row>
    <row r="766">
      <c r="A766" s="45"/>
      <c r="B766" s="45"/>
      <c r="C766" s="45"/>
    </row>
    <row r="767">
      <c r="A767" s="45"/>
      <c r="B767" s="45"/>
      <c r="C767" s="45"/>
    </row>
    <row r="768">
      <c r="A768" s="45"/>
      <c r="B768" s="45"/>
      <c r="C768" s="45"/>
    </row>
    <row r="769">
      <c r="A769" s="45"/>
      <c r="B769" s="45"/>
      <c r="C769" s="45"/>
    </row>
    <row r="770">
      <c r="A770" s="45"/>
      <c r="B770" s="45"/>
      <c r="C770" s="45"/>
    </row>
    <row r="771">
      <c r="A771" s="45"/>
      <c r="B771" s="45"/>
      <c r="C771" s="45"/>
    </row>
    <row r="772">
      <c r="A772" s="45"/>
      <c r="B772" s="45"/>
      <c r="C772" s="45"/>
    </row>
    <row r="773">
      <c r="A773" s="45"/>
      <c r="B773" s="45"/>
      <c r="C773" s="45"/>
    </row>
    <row r="774">
      <c r="A774" s="45"/>
      <c r="B774" s="45"/>
      <c r="C774" s="45"/>
    </row>
    <row r="775">
      <c r="A775" s="45"/>
      <c r="B775" s="45"/>
      <c r="C775" s="45"/>
    </row>
    <row r="776">
      <c r="A776" s="45"/>
      <c r="B776" s="45"/>
      <c r="C776" s="45"/>
    </row>
    <row r="777">
      <c r="A777" s="45"/>
      <c r="B777" s="45"/>
      <c r="C777" s="45"/>
    </row>
    <row r="778">
      <c r="A778" s="45"/>
      <c r="B778" s="45"/>
      <c r="C778" s="45"/>
    </row>
    <row r="779">
      <c r="A779" s="45"/>
      <c r="B779" s="45"/>
      <c r="C779" s="45"/>
    </row>
    <row r="780">
      <c r="A780" s="45"/>
      <c r="B780" s="45"/>
      <c r="C780" s="45"/>
    </row>
    <row r="781">
      <c r="A781" s="45"/>
      <c r="B781" s="45"/>
      <c r="C781" s="45"/>
    </row>
    <row r="782">
      <c r="A782" s="45"/>
      <c r="B782" s="45"/>
      <c r="C782" s="45"/>
    </row>
    <row r="783">
      <c r="A783" s="45"/>
      <c r="B783" s="45"/>
      <c r="C783" s="45"/>
    </row>
    <row r="784">
      <c r="A784" s="45"/>
      <c r="B784" s="45"/>
      <c r="C784" s="45"/>
    </row>
    <row r="785">
      <c r="A785" s="45"/>
      <c r="B785" s="45"/>
      <c r="C785" s="45"/>
    </row>
    <row r="786">
      <c r="A786" s="45"/>
      <c r="B786" s="45"/>
      <c r="C786" s="45"/>
    </row>
    <row r="787">
      <c r="A787" s="45"/>
      <c r="B787" s="45"/>
      <c r="C787" s="45"/>
    </row>
    <row r="788">
      <c r="A788" s="45"/>
      <c r="B788" s="45"/>
      <c r="C788" s="45"/>
    </row>
    <row r="789">
      <c r="A789" s="45"/>
      <c r="B789" s="45"/>
      <c r="C789" s="45"/>
    </row>
    <row r="790">
      <c r="A790" s="45"/>
      <c r="B790" s="45"/>
      <c r="C790" s="45"/>
    </row>
    <row r="791">
      <c r="A791" s="45"/>
      <c r="B791" s="45"/>
      <c r="C791" s="45"/>
    </row>
    <row r="792">
      <c r="A792" s="45"/>
      <c r="B792" s="45"/>
      <c r="C792" s="45"/>
    </row>
    <row r="793">
      <c r="A793" s="45"/>
      <c r="B793" s="45"/>
      <c r="C793" s="45"/>
    </row>
    <row r="794">
      <c r="A794" s="45"/>
      <c r="B794" s="45"/>
      <c r="C794" s="45"/>
    </row>
    <row r="795">
      <c r="A795" s="45"/>
      <c r="B795" s="45"/>
      <c r="C795" s="45"/>
    </row>
    <row r="796">
      <c r="A796" s="45"/>
      <c r="B796" s="45"/>
      <c r="C796" s="45"/>
    </row>
    <row r="797">
      <c r="A797" s="45"/>
      <c r="B797" s="45"/>
      <c r="C797" s="45"/>
    </row>
    <row r="798">
      <c r="A798" s="45"/>
      <c r="B798" s="45"/>
      <c r="C798" s="45"/>
    </row>
    <row r="799">
      <c r="A799" s="45"/>
      <c r="B799" s="45"/>
      <c r="C799" s="45"/>
    </row>
    <row r="800">
      <c r="A800" s="45"/>
      <c r="B800" s="45"/>
      <c r="C800" s="45"/>
    </row>
    <row r="801">
      <c r="A801" s="45"/>
      <c r="B801" s="45"/>
      <c r="C801" s="45"/>
    </row>
    <row r="802">
      <c r="A802" s="45"/>
      <c r="B802" s="45"/>
      <c r="C802" s="45"/>
    </row>
    <row r="803">
      <c r="A803" s="45"/>
      <c r="B803" s="45"/>
      <c r="C803" s="45"/>
    </row>
    <row r="804">
      <c r="A804" s="45"/>
      <c r="B804" s="45"/>
      <c r="C804" s="45"/>
    </row>
    <row r="805">
      <c r="A805" s="45"/>
      <c r="B805" s="45"/>
      <c r="C805" s="45"/>
    </row>
    <row r="806">
      <c r="A806" s="45"/>
      <c r="B806" s="45"/>
      <c r="C806" s="45"/>
    </row>
    <row r="807">
      <c r="A807" s="45"/>
      <c r="B807" s="45"/>
      <c r="C807" s="45"/>
    </row>
    <row r="808">
      <c r="A808" s="45"/>
      <c r="B808" s="45"/>
      <c r="C808" s="45"/>
    </row>
    <row r="809">
      <c r="A809" s="45"/>
      <c r="B809" s="45"/>
      <c r="C809" s="45"/>
    </row>
    <row r="810">
      <c r="A810" s="45"/>
      <c r="B810" s="45"/>
      <c r="C810" s="45"/>
    </row>
    <row r="811">
      <c r="A811" s="45"/>
      <c r="B811" s="45"/>
      <c r="C811" s="45"/>
    </row>
    <row r="812">
      <c r="A812" s="45"/>
      <c r="B812" s="45"/>
      <c r="C812" s="45"/>
    </row>
    <row r="813">
      <c r="A813" s="45"/>
      <c r="B813" s="45"/>
      <c r="C813" s="45"/>
    </row>
    <row r="814">
      <c r="A814" s="45"/>
      <c r="B814" s="45"/>
      <c r="C814" s="45"/>
    </row>
    <row r="815">
      <c r="A815" s="45"/>
      <c r="B815" s="45"/>
      <c r="C815" s="45"/>
    </row>
    <row r="816">
      <c r="A816" s="45"/>
      <c r="B816" s="45"/>
      <c r="C816" s="45"/>
    </row>
    <row r="817">
      <c r="A817" s="45"/>
      <c r="B817" s="45"/>
      <c r="C817" s="45"/>
    </row>
    <row r="818">
      <c r="A818" s="45"/>
      <c r="B818" s="45"/>
      <c r="C818" s="45"/>
    </row>
    <row r="819">
      <c r="A819" s="45"/>
      <c r="B819" s="45"/>
      <c r="C819" s="45"/>
    </row>
    <row r="820">
      <c r="A820" s="45"/>
      <c r="B820" s="45"/>
      <c r="C820" s="45"/>
    </row>
    <row r="821">
      <c r="A821" s="45"/>
      <c r="B821" s="45"/>
      <c r="C821" s="45"/>
    </row>
    <row r="822">
      <c r="A822" s="45"/>
      <c r="B822" s="45"/>
      <c r="C822" s="45"/>
    </row>
    <row r="823">
      <c r="A823" s="45"/>
      <c r="B823" s="45"/>
      <c r="C823" s="45"/>
    </row>
    <row r="824">
      <c r="A824" s="45"/>
      <c r="B824" s="45"/>
      <c r="C824" s="45"/>
    </row>
    <row r="825">
      <c r="A825" s="45"/>
      <c r="B825" s="45"/>
      <c r="C825" s="45"/>
    </row>
    <row r="826">
      <c r="A826" s="45"/>
      <c r="B826" s="45"/>
      <c r="C826" s="45"/>
    </row>
    <row r="827">
      <c r="A827" s="45"/>
      <c r="B827" s="45"/>
      <c r="C827" s="45"/>
    </row>
    <row r="828">
      <c r="A828" s="45"/>
      <c r="B828" s="45"/>
      <c r="C828" s="45"/>
    </row>
    <row r="829">
      <c r="A829" s="45"/>
      <c r="B829" s="45"/>
      <c r="C829" s="45"/>
    </row>
    <row r="830">
      <c r="A830" s="45"/>
      <c r="B830" s="45"/>
      <c r="C830" s="45"/>
    </row>
    <row r="831">
      <c r="A831" s="45"/>
      <c r="B831" s="45"/>
      <c r="C831" s="45"/>
    </row>
    <row r="832">
      <c r="A832" s="45"/>
      <c r="B832" s="45"/>
      <c r="C832" s="45"/>
    </row>
    <row r="833">
      <c r="A833" s="45"/>
      <c r="B833" s="45"/>
      <c r="C833" s="45"/>
    </row>
    <row r="834">
      <c r="A834" s="45"/>
      <c r="B834" s="45"/>
      <c r="C834" s="45"/>
    </row>
    <row r="835">
      <c r="A835" s="45"/>
      <c r="B835" s="45"/>
      <c r="C835" s="45"/>
    </row>
    <row r="836">
      <c r="A836" s="45"/>
      <c r="B836" s="45"/>
      <c r="C836" s="45"/>
    </row>
    <row r="837">
      <c r="A837" s="45"/>
      <c r="B837" s="45"/>
      <c r="C837" s="45"/>
    </row>
    <row r="838">
      <c r="A838" s="45"/>
      <c r="B838" s="45"/>
      <c r="C838" s="45"/>
    </row>
    <row r="839">
      <c r="A839" s="45"/>
      <c r="B839" s="45"/>
      <c r="C839" s="45"/>
    </row>
    <row r="840">
      <c r="A840" s="45"/>
      <c r="B840" s="45"/>
      <c r="C840" s="45"/>
    </row>
    <row r="841">
      <c r="A841" s="45"/>
      <c r="B841" s="45"/>
      <c r="C841" s="45"/>
    </row>
    <row r="842">
      <c r="A842" s="45"/>
      <c r="B842" s="45"/>
      <c r="C842" s="45"/>
    </row>
    <row r="843">
      <c r="A843" s="45"/>
      <c r="B843" s="45"/>
      <c r="C843" s="45"/>
    </row>
    <row r="844">
      <c r="A844" s="45"/>
      <c r="B844" s="45"/>
      <c r="C844" s="45"/>
    </row>
    <row r="845">
      <c r="A845" s="45"/>
      <c r="B845" s="45"/>
      <c r="C845" s="45"/>
    </row>
    <row r="846">
      <c r="A846" s="45"/>
      <c r="B846" s="45"/>
      <c r="C846" s="45"/>
    </row>
    <row r="847">
      <c r="A847" s="45"/>
      <c r="B847" s="45"/>
      <c r="C847" s="45"/>
    </row>
    <row r="848">
      <c r="A848" s="45"/>
      <c r="B848" s="45"/>
      <c r="C848" s="45"/>
    </row>
    <row r="849">
      <c r="A849" s="45"/>
      <c r="B849" s="45"/>
      <c r="C849" s="45"/>
    </row>
    <row r="850">
      <c r="A850" s="45"/>
      <c r="B850" s="45"/>
      <c r="C850" s="45"/>
    </row>
    <row r="851">
      <c r="A851" s="45"/>
      <c r="B851" s="45"/>
      <c r="C851" s="45"/>
    </row>
    <row r="852">
      <c r="A852" s="45"/>
      <c r="B852" s="45"/>
      <c r="C852" s="45"/>
    </row>
    <row r="853">
      <c r="A853" s="45"/>
      <c r="B853" s="45"/>
      <c r="C853" s="45"/>
    </row>
    <row r="854">
      <c r="A854" s="45"/>
      <c r="B854" s="45"/>
      <c r="C854" s="45"/>
    </row>
    <row r="855">
      <c r="A855" s="45"/>
      <c r="B855" s="45"/>
      <c r="C855" s="45"/>
    </row>
    <row r="856">
      <c r="A856" s="45"/>
      <c r="B856" s="45"/>
      <c r="C856" s="45"/>
    </row>
    <row r="857">
      <c r="A857" s="45"/>
      <c r="B857" s="45"/>
      <c r="C857" s="45"/>
    </row>
    <row r="858">
      <c r="A858" s="45"/>
      <c r="B858" s="45"/>
      <c r="C858" s="45"/>
    </row>
    <row r="859">
      <c r="A859" s="45"/>
      <c r="B859" s="45"/>
      <c r="C859" s="45"/>
    </row>
    <row r="860">
      <c r="A860" s="45"/>
      <c r="B860" s="45"/>
      <c r="C860" s="45"/>
    </row>
    <row r="861">
      <c r="A861" s="45"/>
      <c r="B861" s="45"/>
      <c r="C861" s="45"/>
    </row>
    <row r="862">
      <c r="A862" s="45"/>
      <c r="B862" s="45"/>
      <c r="C862" s="45"/>
    </row>
    <row r="863">
      <c r="A863" s="45"/>
      <c r="B863" s="45"/>
      <c r="C863" s="45"/>
    </row>
    <row r="864">
      <c r="A864" s="45"/>
      <c r="B864" s="45"/>
      <c r="C864" s="45"/>
    </row>
    <row r="865">
      <c r="A865" s="45"/>
      <c r="B865" s="45"/>
      <c r="C865" s="45"/>
    </row>
    <row r="866">
      <c r="A866" s="45"/>
      <c r="B866" s="45"/>
      <c r="C866" s="45"/>
    </row>
    <row r="867">
      <c r="A867" s="45"/>
      <c r="B867" s="45"/>
      <c r="C867" s="45"/>
    </row>
    <row r="868">
      <c r="A868" s="45"/>
      <c r="B868" s="45"/>
      <c r="C868" s="45"/>
    </row>
    <row r="869">
      <c r="A869" s="45"/>
      <c r="B869" s="45"/>
      <c r="C869" s="45"/>
    </row>
    <row r="870">
      <c r="A870" s="45"/>
      <c r="B870" s="45"/>
      <c r="C870" s="45"/>
    </row>
    <row r="871">
      <c r="A871" s="45"/>
      <c r="B871" s="45"/>
      <c r="C871" s="45"/>
    </row>
    <row r="872">
      <c r="A872" s="45"/>
      <c r="B872" s="45"/>
      <c r="C872" s="45"/>
    </row>
    <row r="873">
      <c r="A873" s="45"/>
      <c r="B873" s="45"/>
      <c r="C873" s="45"/>
    </row>
    <row r="874">
      <c r="A874" s="45"/>
      <c r="B874" s="45"/>
      <c r="C874" s="45"/>
    </row>
    <row r="875">
      <c r="A875" s="45"/>
      <c r="B875" s="45"/>
      <c r="C875" s="45"/>
    </row>
    <row r="876">
      <c r="A876" s="45"/>
      <c r="B876" s="45"/>
      <c r="C876" s="45"/>
    </row>
    <row r="877">
      <c r="A877" s="45"/>
      <c r="B877" s="45"/>
      <c r="C877" s="45"/>
    </row>
    <row r="878">
      <c r="A878" s="45"/>
      <c r="B878" s="45"/>
      <c r="C878" s="45"/>
    </row>
    <row r="879">
      <c r="A879" s="45"/>
      <c r="B879" s="45"/>
      <c r="C879" s="45"/>
    </row>
    <row r="880">
      <c r="A880" s="45"/>
      <c r="B880" s="45"/>
      <c r="C880" s="45"/>
    </row>
    <row r="881">
      <c r="A881" s="45"/>
      <c r="B881" s="45"/>
      <c r="C881" s="45"/>
    </row>
    <row r="882">
      <c r="A882" s="45"/>
      <c r="B882" s="45"/>
      <c r="C882" s="45"/>
    </row>
    <row r="883">
      <c r="A883" s="45"/>
      <c r="B883" s="45"/>
      <c r="C883" s="45"/>
    </row>
    <row r="884">
      <c r="A884" s="45"/>
      <c r="B884" s="45"/>
      <c r="C884" s="45"/>
    </row>
    <row r="885">
      <c r="A885" s="45"/>
      <c r="B885" s="45"/>
      <c r="C885" s="45"/>
    </row>
    <row r="886">
      <c r="A886" s="45"/>
      <c r="B886" s="45"/>
      <c r="C886" s="45"/>
    </row>
    <row r="887">
      <c r="A887" s="45"/>
      <c r="B887" s="45"/>
      <c r="C887" s="45"/>
    </row>
    <row r="888">
      <c r="A888" s="45"/>
      <c r="B888" s="45"/>
      <c r="C888" s="45"/>
    </row>
    <row r="889">
      <c r="A889" s="45"/>
      <c r="B889" s="45"/>
      <c r="C889" s="45"/>
    </row>
    <row r="890">
      <c r="A890" s="45"/>
      <c r="B890" s="45"/>
      <c r="C890" s="45"/>
    </row>
    <row r="891">
      <c r="A891" s="45"/>
      <c r="B891" s="45"/>
      <c r="C891" s="45"/>
    </row>
    <row r="892">
      <c r="A892" s="45"/>
      <c r="B892" s="45"/>
      <c r="C892" s="45"/>
    </row>
    <row r="893">
      <c r="A893" s="45"/>
      <c r="B893" s="45"/>
      <c r="C893" s="45"/>
    </row>
    <row r="894">
      <c r="A894" s="45"/>
      <c r="B894" s="45"/>
      <c r="C894" s="45"/>
    </row>
    <row r="895">
      <c r="A895" s="45"/>
      <c r="B895" s="45"/>
      <c r="C895" s="45"/>
    </row>
    <row r="896">
      <c r="A896" s="45"/>
      <c r="B896" s="45"/>
      <c r="C896" s="45"/>
    </row>
    <row r="897">
      <c r="A897" s="45"/>
      <c r="B897" s="45"/>
      <c r="C897" s="45"/>
    </row>
    <row r="898">
      <c r="A898" s="45"/>
      <c r="B898" s="45"/>
      <c r="C898" s="45"/>
    </row>
    <row r="899">
      <c r="A899" s="45"/>
      <c r="B899" s="45"/>
      <c r="C899" s="45"/>
    </row>
    <row r="900">
      <c r="A900" s="45"/>
      <c r="B900" s="45"/>
      <c r="C900" s="45"/>
    </row>
    <row r="901">
      <c r="A901" s="45"/>
      <c r="B901" s="45"/>
      <c r="C901" s="45"/>
    </row>
    <row r="902">
      <c r="A902" s="45"/>
      <c r="B902" s="45"/>
      <c r="C902" s="45"/>
    </row>
    <row r="903">
      <c r="A903" s="45"/>
      <c r="B903" s="45"/>
      <c r="C903" s="45"/>
    </row>
    <row r="904">
      <c r="A904" s="45"/>
      <c r="B904" s="45"/>
      <c r="C904" s="45"/>
    </row>
    <row r="905">
      <c r="A905" s="45"/>
      <c r="B905" s="45"/>
      <c r="C905" s="45"/>
    </row>
    <row r="906">
      <c r="A906" s="45"/>
      <c r="B906" s="45"/>
      <c r="C906" s="45"/>
    </row>
    <row r="907">
      <c r="A907" s="45"/>
      <c r="B907" s="45"/>
      <c r="C907" s="45"/>
    </row>
    <row r="908">
      <c r="A908" s="45"/>
      <c r="B908" s="45"/>
      <c r="C908" s="45"/>
    </row>
    <row r="909">
      <c r="A909" s="45"/>
      <c r="B909" s="45"/>
      <c r="C909" s="45"/>
    </row>
    <row r="910">
      <c r="A910" s="45"/>
      <c r="B910" s="45"/>
      <c r="C910" s="45"/>
    </row>
    <row r="911">
      <c r="A911" s="45"/>
      <c r="B911" s="45"/>
      <c r="C911" s="45"/>
    </row>
    <row r="912">
      <c r="A912" s="45"/>
      <c r="B912" s="45"/>
      <c r="C912" s="45"/>
    </row>
    <row r="913">
      <c r="A913" s="45"/>
      <c r="B913" s="45"/>
      <c r="C913" s="45"/>
    </row>
    <row r="914">
      <c r="A914" s="45"/>
      <c r="B914" s="45"/>
      <c r="C914" s="45"/>
    </row>
    <row r="915">
      <c r="A915" s="45"/>
      <c r="B915" s="45"/>
      <c r="C915" s="45"/>
    </row>
    <row r="916">
      <c r="A916" s="45"/>
      <c r="B916" s="45"/>
      <c r="C916" s="45"/>
    </row>
    <row r="917">
      <c r="A917" s="45"/>
      <c r="B917" s="45"/>
      <c r="C917" s="45"/>
    </row>
    <row r="918">
      <c r="A918" s="45"/>
      <c r="B918" s="45"/>
      <c r="C918" s="45"/>
    </row>
    <row r="919">
      <c r="A919" s="45"/>
      <c r="B919" s="45"/>
      <c r="C919" s="45"/>
    </row>
    <row r="920">
      <c r="A920" s="45"/>
      <c r="B920" s="45"/>
      <c r="C920" s="45"/>
    </row>
    <row r="921">
      <c r="A921" s="45"/>
      <c r="B921" s="45"/>
      <c r="C921" s="45"/>
    </row>
    <row r="922">
      <c r="A922" s="45"/>
      <c r="B922" s="45"/>
      <c r="C922" s="45"/>
    </row>
    <row r="923">
      <c r="A923" s="45"/>
      <c r="B923" s="45"/>
      <c r="C923" s="45"/>
    </row>
    <row r="924">
      <c r="A924" s="45"/>
      <c r="B924" s="45"/>
      <c r="C924" s="45"/>
    </row>
    <row r="925">
      <c r="A925" s="45"/>
      <c r="B925" s="45"/>
      <c r="C925" s="45"/>
    </row>
    <row r="926">
      <c r="A926" s="45"/>
      <c r="B926" s="45"/>
      <c r="C926" s="45"/>
    </row>
    <row r="927">
      <c r="A927" s="45"/>
      <c r="B927" s="45"/>
      <c r="C927" s="45"/>
    </row>
    <row r="928">
      <c r="A928" s="45"/>
      <c r="B928" s="45"/>
      <c r="C928" s="45"/>
    </row>
    <row r="929">
      <c r="A929" s="45"/>
      <c r="B929" s="45"/>
      <c r="C929" s="45"/>
    </row>
    <row r="930">
      <c r="A930" s="45"/>
      <c r="B930" s="45"/>
      <c r="C930" s="45"/>
    </row>
    <row r="931">
      <c r="A931" s="45"/>
      <c r="B931" s="45"/>
      <c r="C931" s="45"/>
    </row>
    <row r="932">
      <c r="A932" s="45"/>
      <c r="B932" s="45"/>
      <c r="C932" s="45"/>
    </row>
    <row r="933">
      <c r="A933" s="45"/>
      <c r="B933" s="45"/>
      <c r="C933" s="45"/>
    </row>
    <row r="934">
      <c r="A934" s="45"/>
      <c r="B934" s="45"/>
      <c r="C934" s="45"/>
    </row>
    <row r="935">
      <c r="A935" s="45"/>
      <c r="B935" s="45"/>
      <c r="C935" s="45"/>
    </row>
    <row r="936">
      <c r="A936" s="45"/>
      <c r="B936" s="45"/>
      <c r="C936" s="45"/>
    </row>
    <row r="937">
      <c r="A937" s="45"/>
      <c r="B937" s="45"/>
      <c r="C937" s="45"/>
    </row>
    <row r="938">
      <c r="A938" s="45"/>
      <c r="B938" s="45"/>
      <c r="C938" s="45"/>
    </row>
    <row r="939">
      <c r="A939" s="45"/>
      <c r="B939" s="45"/>
      <c r="C939" s="45"/>
    </row>
    <row r="940">
      <c r="A940" s="45"/>
      <c r="B940" s="45"/>
      <c r="C940" s="45"/>
    </row>
    <row r="941">
      <c r="A941" s="45"/>
      <c r="B941" s="45"/>
      <c r="C941" s="45"/>
    </row>
    <row r="942">
      <c r="A942" s="45"/>
      <c r="B942" s="45"/>
      <c r="C942" s="45"/>
    </row>
    <row r="943">
      <c r="A943" s="45"/>
      <c r="B943" s="45"/>
      <c r="C943" s="45"/>
    </row>
    <row r="944">
      <c r="A944" s="45"/>
      <c r="B944" s="45"/>
      <c r="C944" s="45"/>
    </row>
    <row r="945">
      <c r="A945" s="45"/>
      <c r="B945" s="45"/>
      <c r="C945" s="45"/>
    </row>
    <row r="946">
      <c r="A946" s="45"/>
      <c r="B946" s="45"/>
      <c r="C946" s="45"/>
    </row>
    <row r="947">
      <c r="A947" s="45"/>
      <c r="B947" s="45"/>
      <c r="C947" s="45"/>
    </row>
    <row r="948">
      <c r="A948" s="45"/>
      <c r="B948" s="45"/>
      <c r="C948" s="45"/>
    </row>
    <row r="949">
      <c r="A949" s="45"/>
      <c r="B949" s="45"/>
      <c r="C949" s="45"/>
    </row>
    <row r="950">
      <c r="A950" s="45"/>
      <c r="B950" s="45"/>
      <c r="C950" s="45"/>
    </row>
    <row r="951">
      <c r="A951" s="45"/>
      <c r="B951" s="45"/>
      <c r="C951" s="45"/>
    </row>
    <row r="952">
      <c r="A952" s="45"/>
      <c r="B952" s="45"/>
      <c r="C952" s="45"/>
    </row>
    <row r="953">
      <c r="A953" s="45"/>
      <c r="B953" s="45"/>
      <c r="C953" s="45"/>
    </row>
    <row r="954">
      <c r="A954" s="45"/>
      <c r="B954" s="45"/>
      <c r="C954" s="45"/>
    </row>
    <row r="955">
      <c r="A955" s="45"/>
      <c r="B955" s="45"/>
      <c r="C955" s="45"/>
    </row>
    <row r="956">
      <c r="A956" s="45"/>
      <c r="B956" s="45"/>
      <c r="C956" s="45"/>
    </row>
    <row r="957">
      <c r="A957" s="45"/>
      <c r="B957" s="45"/>
      <c r="C957" s="45"/>
    </row>
    <row r="958">
      <c r="A958" s="45"/>
      <c r="B958" s="45"/>
      <c r="C958" s="45"/>
    </row>
    <row r="959">
      <c r="A959" s="45"/>
      <c r="B959" s="45"/>
      <c r="C959" s="45"/>
    </row>
    <row r="960">
      <c r="A960" s="45"/>
      <c r="B960" s="45"/>
      <c r="C960" s="45"/>
    </row>
    <row r="961">
      <c r="A961" s="45"/>
      <c r="B961" s="45"/>
      <c r="C961" s="45"/>
    </row>
    <row r="962">
      <c r="A962" s="45"/>
      <c r="B962" s="45"/>
      <c r="C962" s="45"/>
    </row>
    <row r="963">
      <c r="A963" s="45"/>
      <c r="B963" s="45"/>
      <c r="C963" s="45"/>
    </row>
    <row r="964">
      <c r="A964" s="45"/>
      <c r="B964" s="45"/>
      <c r="C964" s="45"/>
    </row>
    <row r="965">
      <c r="A965" s="45"/>
      <c r="B965" s="45"/>
      <c r="C965" s="45"/>
    </row>
    <row r="966">
      <c r="A966" s="45"/>
      <c r="B966" s="45"/>
      <c r="C966" s="45"/>
    </row>
    <row r="967">
      <c r="A967" s="45"/>
      <c r="B967" s="45"/>
      <c r="C967" s="45"/>
    </row>
    <row r="968">
      <c r="A968" s="45"/>
      <c r="B968" s="45"/>
      <c r="C968" s="45"/>
    </row>
    <row r="969">
      <c r="A969" s="45"/>
      <c r="B969" s="45"/>
      <c r="C969" s="45"/>
    </row>
    <row r="970">
      <c r="A970" s="45"/>
      <c r="B970" s="45"/>
      <c r="C970" s="45"/>
    </row>
    <row r="971">
      <c r="A971" s="45"/>
      <c r="B971" s="45"/>
      <c r="C971" s="45"/>
    </row>
    <row r="972">
      <c r="A972" s="45"/>
      <c r="B972" s="45"/>
      <c r="C972" s="45"/>
    </row>
    <row r="973">
      <c r="A973" s="45"/>
      <c r="B973" s="45"/>
      <c r="C973" s="45"/>
    </row>
    <row r="974">
      <c r="A974" s="45"/>
      <c r="B974" s="45"/>
      <c r="C974" s="45"/>
    </row>
    <row r="975">
      <c r="A975" s="45"/>
      <c r="B975" s="45"/>
      <c r="C975" s="45"/>
    </row>
    <row r="976">
      <c r="A976" s="45"/>
      <c r="B976" s="45"/>
      <c r="C976" s="45"/>
    </row>
    <row r="977">
      <c r="A977" s="45"/>
      <c r="B977" s="45"/>
      <c r="C977" s="45"/>
    </row>
    <row r="978">
      <c r="A978" s="45"/>
      <c r="B978" s="45"/>
      <c r="C978" s="45"/>
    </row>
    <row r="979">
      <c r="A979" s="45"/>
      <c r="B979" s="45"/>
      <c r="C979" s="45"/>
    </row>
    <row r="980">
      <c r="A980" s="45"/>
      <c r="B980" s="45"/>
      <c r="C980" s="45"/>
    </row>
    <row r="981">
      <c r="A981" s="45"/>
      <c r="B981" s="45"/>
      <c r="C981" s="45"/>
    </row>
    <row r="982">
      <c r="A982" s="45"/>
      <c r="B982" s="45"/>
      <c r="C982" s="45"/>
    </row>
    <row r="983">
      <c r="A983" s="45"/>
      <c r="B983" s="45"/>
      <c r="C983" s="45"/>
    </row>
    <row r="984">
      <c r="A984" s="45"/>
      <c r="B984" s="45"/>
      <c r="C984" s="45"/>
    </row>
    <row r="985">
      <c r="A985" s="45"/>
      <c r="B985" s="45"/>
      <c r="C985" s="45"/>
    </row>
    <row r="986">
      <c r="A986" s="45"/>
      <c r="B986" s="45"/>
      <c r="C986" s="45"/>
    </row>
    <row r="987">
      <c r="A987" s="45"/>
      <c r="B987" s="45"/>
      <c r="C987" s="45"/>
    </row>
    <row r="988">
      <c r="A988" s="45"/>
      <c r="B988" s="45"/>
      <c r="C988" s="45"/>
    </row>
    <row r="989">
      <c r="A989" s="45"/>
      <c r="B989" s="45"/>
      <c r="C989" s="45"/>
    </row>
    <row r="990">
      <c r="A990" s="45"/>
      <c r="B990" s="45"/>
      <c r="C990" s="45"/>
    </row>
    <row r="991">
      <c r="A991" s="45"/>
      <c r="B991" s="45"/>
      <c r="C991" s="45"/>
    </row>
    <row r="992">
      <c r="A992" s="45"/>
      <c r="B992" s="45"/>
      <c r="C992" s="45"/>
    </row>
    <row r="993">
      <c r="A993" s="45"/>
      <c r="B993" s="45"/>
      <c r="C993" s="45"/>
    </row>
    <row r="994">
      <c r="A994" s="45"/>
      <c r="B994" s="45"/>
      <c r="C994" s="45"/>
    </row>
    <row r="995">
      <c r="A995" s="45"/>
      <c r="B995" s="45"/>
      <c r="C995" s="45"/>
    </row>
    <row r="996">
      <c r="A996" s="45"/>
      <c r="B996" s="45"/>
      <c r="C996" s="45"/>
    </row>
    <row r="997">
      <c r="A997" s="45"/>
      <c r="B997" s="45"/>
      <c r="C997" s="45"/>
    </row>
    <row r="998">
      <c r="A998" s="45"/>
      <c r="B998" s="45"/>
      <c r="C998" s="45"/>
    </row>
    <row r="999">
      <c r="A999" s="45"/>
      <c r="B999" s="45"/>
      <c r="C999" s="4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s>
  <sheetData>
    <row r="1">
      <c r="A1" s="2" t="s">
        <v>37</v>
      </c>
      <c r="B1" s="31" t="s">
        <v>188</v>
      </c>
      <c r="C1" s="2" t="s">
        <v>189</v>
      </c>
      <c r="D1" s="2" t="s">
        <v>190</v>
      </c>
      <c r="E1" s="2" t="s">
        <v>191</v>
      </c>
      <c r="F1" s="2" t="s">
        <v>192</v>
      </c>
    </row>
    <row r="2">
      <c r="A2" s="2" t="s">
        <v>193</v>
      </c>
      <c r="B2" s="31">
        <v>46235.0</v>
      </c>
      <c r="C2" s="47">
        <v>0.32083333333333336</v>
      </c>
      <c r="D2" s="2" t="s">
        <v>63</v>
      </c>
      <c r="E2" s="2" t="s">
        <v>198</v>
      </c>
      <c r="F2" s="15">
        <v>220.0</v>
      </c>
      <c r="G2" s="16">
        <v>46235.321281875</v>
      </c>
      <c r="H2" s="2" t="s">
        <v>27</v>
      </c>
      <c r="I2" s="2">
        <v>6.85979068E9</v>
      </c>
    </row>
    <row r="3">
      <c r="A3" s="2" t="s">
        <v>200</v>
      </c>
      <c r="B3" s="31">
        <v>46235.0</v>
      </c>
      <c r="C3" s="47">
        <v>0.5909722222222222</v>
      </c>
      <c r="D3" s="2" t="s">
        <v>201</v>
      </c>
      <c r="E3" s="2" t="s">
        <v>202</v>
      </c>
      <c r="F3" s="15">
        <v>440.0</v>
      </c>
      <c r="G3" s="16">
        <v>46234.59155784722</v>
      </c>
      <c r="H3" s="2" t="s">
        <v>27</v>
      </c>
      <c r="I3" s="2">
        <v>6.85979068E9</v>
      </c>
    </row>
    <row r="4">
      <c r="A4" s="2" t="s">
        <v>204</v>
      </c>
      <c r="B4" s="31">
        <v>46235.0</v>
      </c>
      <c r="C4" s="47">
        <v>0.5909722222222222</v>
      </c>
      <c r="D4" s="2" t="s">
        <v>201</v>
      </c>
      <c r="E4" s="2" t="s">
        <v>206</v>
      </c>
      <c r="F4" s="15">
        <v>660.0</v>
      </c>
      <c r="G4" s="16">
        <v>46234.59155784722</v>
      </c>
      <c r="H4" s="2" t="s">
        <v>27</v>
      </c>
      <c r="I4" s="2">
        <v>6.85979068E9</v>
      </c>
    </row>
    <row r="5">
      <c r="A5" s="2" t="s">
        <v>207</v>
      </c>
      <c r="B5" s="31">
        <v>46235.0</v>
      </c>
      <c r="C5" s="47">
        <v>0.5909722222222222</v>
      </c>
      <c r="D5" s="2" t="s">
        <v>201</v>
      </c>
      <c r="E5" s="2" t="s">
        <v>210</v>
      </c>
      <c r="F5" s="15">
        <v>440.0</v>
      </c>
      <c r="G5" s="16">
        <v>46234.59155784722</v>
      </c>
      <c r="H5" s="2" t="s">
        <v>27</v>
      </c>
      <c r="I5" s="2">
        <v>6.85979068E9</v>
      </c>
    </row>
    <row r="6">
      <c r="A6" s="2" t="s">
        <v>212</v>
      </c>
      <c r="B6" s="31">
        <v>46235.0</v>
      </c>
      <c r="C6" s="47">
        <v>0.5909722222222222</v>
      </c>
      <c r="D6" s="2" t="s">
        <v>201</v>
      </c>
      <c r="E6" s="2" t="s">
        <v>213</v>
      </c>
      <c r="F6" s="15">
        <v>440.0</v>
      </c>
      <c r="G6" s="16">
        <v>46234.59155784722</v>
      </c>
      <c r="H6" s="2" t="s">
        <v>27</v>
      </c>
      <c r="I6" s="2">
        <v>6.85979068E9</v>
      </c>
    </row>
    <row r="7">
      <c r="A7" s="2" t="s">
        <v>215</v>
      </c>
      <c r="B7" s="31">
        <v>46235.0</v>
      </c>
      <c r="C7" s="47">
        <v>0.5909722222222222</v>
      </c>
      <c r="D7" s="2" t="s">
        <v>67</v>
      </c>
      <c r="E7" s="2" t="s">
        <v>217</v>
      </c>
      <c r="F7" s="15">
        <v>440.0</v>
      </c>
      <c r="G7" s="16">
        <v>46234.59143511574</v>
      </c>
      <c r="H7" s="2" t="s">
        <v>27</v>
      </c>
      <c r="I7" s="2">
        <v>6.85979068E9</v>
      </c>
    </row>
    <row r="8">
      <c r="A8" s="2" t="s">
        <v>220</v>
      </c>
      <c r="B8" s="31">
        <v>46235.0</v>
      </c>
      <c r="C8" s="47">
        <v>0.5909722222222222</v>
      </c>
      <c r="D8" s="2" t="s">
        <v>67</v>
      </c>
      <c r="E8" s="2" t="s">
        <v>221</v>
      </c>
      <c r="F8" s="15">
        <v>220.0</v>
      </c>
      <c r="G8" s="16">
        <v>46234.59143511574</v>
      </c>
      <c r="H8" s="2" t="s">
        <v>27</v>
      </c>
      <c r="I8" s="2">
        <v>6.85979068E9</v>
      </c>
    </row>
    <row r="9">
      <c r="A9" s="2" t="s">
        <v>224</v>
      </c>
      <c r="B9" s="31">
        <v>46235.0</v>
      </c>
      <c r="C9" s="47">
        <v>0.5909722222222222</v>
      </c>
      <c r="D9" s="2" t="s">
        <v>67</v>
      </c>
      <c r="E9" s="2" t="s">
        <v>226</v>
      </c>
      <c r="F9" s="15">
        <v>440.0</v>
      </c>
      <c r="G9" s="16">
        <v>46234.59143511574</v>
      </c>
      <c r="H9" s="2" t="s">
        <v>27</v>
      </c>
      <c r="I9" s="2">
        <v>6.85979068E9</v>
      </c>
    </row>
    <row r="10">
      <c r="A10" s="2" t="s">
        <v>229</v>
      </c>
      <c r="B10" s="31">
        <v>46235.0</v>
      </c>
      <c r="C10" s="47">
        <v>0.5909722222222222</v>
      </c>
      <c r="D10" s="2" t="s">
        <v>67</v>
      </c>
      <c r="E10" s="2" t="s">
        <v>230</v>
      </c>
      <c r="F10" s="15">
        <v>220.0</v>
      </c>
      <c r="G10" s="16">
        <v>46234.59143511574</v>
      </c>
      <c r="H10" s="2" t="s">
        <v>27</v>
      </c>
      <c r="I10" s="2">
        <v>6.85979068E9</v>
      </c>
    </row>
    <row r="11">
      <c r="A11" s="2" t="s">
        <v>232</v>
      </c>
      <c r="B11" s="31">
        <v>46235.0</v>
      </c>
      <c r="C11" s="47">
        <v>0.5909722222222222</v>
      </c>
      <c r="D11" s="2" t="s">
        <v>67</v>
      </c>
      <c r="E11" s="2" t="s">
        <v>234</v>
      </c>
      <c r="F11" s="15">
        <v>660.0</v>
      </c>
      <c r="G11" s="16">
        <v>46234.59143511574</v>
      </c>
      <c r="H11" s="2" t="s">
        <v>27</v>
      </c>
      <c r="I11" s="2">
        <v>6.85979068E9</v>
      </c>
    </row>
    <row r="12">
      <c r="A12" s="2" t="s">
        <v>236</v>
      </c>
      <c r="B12" s="31">
        <v>46235.0</v>
      </c>
      <c r="C12" s="47">
        <v>0.5909722222222222</v>
      </c>
      <c r="D12" s="2" t="s">
        <v>78</v>
      </c>
      <c r="E12" s="2" t="s">
        <v>238</v>
      </c>
      <c r="F12" s="15">
        <v>440.0</v>
      </c>
      <c r="G12" s="16">
        <v>46234.59132658565</v>
      </c>
      <c r="H12" s="2" t="s">
        <v>27</v>
      </c>
      <c r="I12" s="2">
        <v>6.85979068E9</v>
      </c>
    </row>
    <row r="13">
      <c r="A13" s="2" t="s">
        <v>240</v>
      </c>
      <c r="B13" s="31">
        <v>46235.0</v>
      </c>
      <c r="C13" s="47">
        <v>0.5909722222222222</v>
      </c>
      <c r="D13" s="2" t="s">
        <v>78</v>
      </c>
      <c r="E13" s="2" t="s">
        <v>242</v>
      </c>
      <c r="F13" s="15">
        <v>440.0</v>
      </c>
      <c r="G13" s="16">
        <v>46234.59132658565</v>
      </c>
      <c r="H13" s="2" t="s">
        <v>27</v>
      </c>
      <c r="I13" s="2">
        <v>6.85979068E9</v>
      </c>
    </row>
    <row r="14">
      <c r="A14" s="2" t="s">
        <v>244</v>
      </c>
      <c r="B14" s="31">
        <v>46235.0</v>
      </c>
      <c r="C14" s="47">
        <v>0.5909722222222222</v>
      </c>
      <c r="D14" s="2" t="s">
        <v>78</v>
      </c>
      <c r="E14" s="2" t="s">
        <v>246</v>
      </c>
      <c r="F14" s="15">
        <v>440.0</v>
      </c>
      <c r="G14" s="16">
        <v>46234.59132658565</v>
      </c>
      <c r="H14" s="2" t="s">
        <v>27</v>
      </c>
      <c r="I14" s="2">
        <v>6.85979068E9</v>
      </c>
    </row>
    <row r="15">
      <c r="A15" s="2" t="s">
        <v>247</v>
      </c>
      <c r="B15" s="31">
        <v>46235.0</v>
      </c>
      <c r="C15" s="47">
        <v>0.5909722222222222</v>
      </c>
      <c r="D15" s="2" t="s">
        <v>78</v>
      </c>
      <c r="E15" s="2" t="s">
        <v>248</v>
      </c>
      <c r="F15" s="15">
        <v>660.0</v>
      </c>
      <c r="G15" s="16">
        <v>46234.59132658565</v>
      </c>
      <c r="H15" s="2" t="s">
        <v>27</v>
      </c>
      <c r="I15" s="2">
        <v>6.85979068E9</v>
      </c>
    </row>
    <row r="16">
      <c r="A16" s="2" t="s">
        <v>249</v>
      </c>
      <c r="B16" s="31">
        <v>46235.0</v>
      </c>
      <c r="C16" s="47">
        <v>0.5909722222222222</v>
      </c>
      <c r="D16" s="2" t="s">
        <v>78</v>
      </c>
      <c r="E16" s="2" t="s">
        <v>251</v>
      </c>
      <c r="F16" s="15">
        <v>440.0</v>
      </c>
      <c r="G16" s="16">
        <v>46234.59132658565</v>
      </c>
      <c r="H16" s="2" t="s">
        <v>27</v>
      </c>
      <c r="I16" s="2">
        <v>6.85979068E9</v>
      </c>
    </row>
    <row r="17">
      <c r="A17" s="2" t="s">
        <v>252</v>
      </c>
      <c r="B17" s="31">
        <v>46235.0</v>
      </c>
      <c r="C17" s="47">
        <v>0.5909722222222222</v>
      </c>
      <c r="D17" s="2" t="s">
        <v>78</v>
      </c>
      <c r="E17" s="2" t="s">
        <v>253</v>
      </c>
      <c r="F17" s="15">
        <v>440.0</v>
      </c>
      <c r="G17" s="16">
        <v>46234.59132658565</v>
      </c>
      <c r="H17" s="2" t="s">
        <v>27</v>
      </c>
      <c r="I17" s="2">
        <v>6.85979068E9</v>
      </c>
    </row>
    <row r="18">
      <c r="A18" s="2" t="s">
        <v>255</v>
      </c>
      <c r="B18" s="31">
        <v>46235.0</v>
      </c>
      <c r="C18" s="47">
        <v>0.5909722222222222</v>
      </c>
      <c r="D18" s="2" t="s">
        <v>78</v>
      </c>
      <c r="E18" s="2" t="s">
        <v>256</v>
      </c>
      <c r="F18" s="15">
        <v>660.0</v>
      </c>
      <c r="G18" s="16">
        <v>46234.59132658565</v>
      </c>
      <c r="H18" s="2" t="s">
        <v>27</v>
      </c>
      <c r="I18" s="2">
        <v>6.85979068E9</v>
      </c>
    </row>
    <row r="19">
      <c r="A19" s="2" t="s">
        <v>257</v>
      </c>
      <c r="B19" s="31">
        <v>46235.0</v>
      </c>
      <c r="C19" s="47">
        <v>0.5909722222222222</v>
      </c>
      <c r="D19" s="2" t="s">
        <v>78</v>
      </c>
      <c r="E19" s="2" t="s">
        <v>258</v>
      </c>
      <c r="F19" s="15">
        <v>440.0</v>
      </c>
      <c r="G19" s="16">
        <v>46234.59132658565</v>
      </c>
      <c r="H19" s="2" t="s">
        <v>27</v>
      </c>
      <c r="I19" s="2">
        <v>6.85979068E9</v>
      </c>
    </row>
    <row r="20">
      <c r="A20" s="2" t="s">
        <v>259</v>
      </c>
      <c r="B20" s="31">
        <v>46235.0</v>
      </c>
      <c r="C20" s="47">
        <v>0.5909722222222222</v>
      </c>
      <c r="D20" s="2" t="s">
        <v>78</v>
      </c>
      <c r="E20" s="2" t="s">
        <v>260</v>
      </c>
      <c r="F20" s="15">
        <v>440.0</v>
      </c>
      <c r="G20" s="16">
        <v>46234.59132658565</v>
      </c>
      <c r="H20" s="2" t="s">
        <v>27</v>
      </c>
      <c r="I20" s="2">
        <v>6.85979068E9</v>
      </c>
    </row>
    <row r="21">
      <c r="A21" s="2" t="s">
        <v>261</v>
      </c>
      <c r="B21" s="31">
        <v>46234.0</v>
      </c>
      <c r="C21" s="47">
        <v>0.5902777777777778</v>
      </c>
      <c r="D21" s="2" t="s">
        <v>63</v>
      </c>
      <c r="E21" s="2" t="s">
        <v>262</v>
      </c>
      <c r="F21" s="15">
        <v>660.0</v>
      </c>
      <c r="G21" s="16">
        <v>46234.59078784722</v>
      </c>
      <c r="H21" s="2" t="s">
        <v>27</v>
      </c>
      <c r="I21" s="2">
        <v>6.85979068E9</v>
      </c>
    </row>
    <row r="22">
      <c r="A22" s="2" t="s">
        <v>263</v>
      </c>
      <c r="B22" s="31">
        <v>46234.0</v>
      </c>
      <c r="C22" s="47">
        <v>0.5902777777777778</v>
      </c>
      <c r="D22" s="2" t="s">
        <v>63</v>
      </c>
      <c r="E22" s="2" t="s">
        <v>264</v>
      </c>
      <c r="F22" s="15">
        <v>220.0</v>
      </c>
      <c r="G22" s="16">
        <v>46234.59078784722</v>
      </c>
      <c r="H22" s="2" t="s">
        <v>27</v>
      </c>
      <c r="I22" s="2">
        <v>6.85979068E9</v>
      </c>
    </row>
    <row r="23">
      <c r="A23" s="2" t="s">
        <v>265</v>
      </c>
      <c r="B23" s="31">
        <v>46234.0</v>
      </c>
      <c r="C23" s="47">
        <v>0.5902777777777778</v>
      </c>
      <c r="D23" s="2" t="s">
        <v>63</v>
      </c>
      <c r="E23" s="2" t="s">
        <v>266</v>
      </c>
      <c r="F23" s="15">
        <v>220.0</v>
      </c>
      <c r="G23" s="16">
        <v>46234.59078784722</v>
      </c>
      <c r="H23" s="2" t="s">
        <v>27</v>
      </c>
      <c r="I23" s="2">
        <v>6.85979068E9</v>
      </c>
    </row>
    <row r="24">
      <c r="A24" s="2" t="s">
        <v>267</v>
      </c>
      <c r="B24" s="31">
        <v>46234.0</v>
      </c>
      <c r="C24" s="47">
        <v>0.5902777777777778</v>
      </c>
      <c r="D24" s="2" t="s">
        <v>63</v>
      </c>
      <c r="E24" s="2" t="s">
        <v>268</v>
      </c>
      <c r="F24" s="15">
        <v>440.0</v>
      </c>
      <c r="G24" s="16">
        <v>46234.59078784722</v>
      </c>
      <c r="H24" s="2" t="s">
        <v>27</v>
      </c>
      <c r="I24" s="2">
        <v>6.85979068E9</v>
      </c>
    </row>
    <row r="25">
      <c r="A25" s="2" t="s">
        <v>269</v>
      </c>
      <c r="B25" s="31">
        <v>46234.0</v>
      </c>
      <c r="C25" s="47">
        <v>0.5902777777777778</v>
      </c>
      <c r="D25" s="2" t="s">
        <v>63</v>
      </c>
      <c r="E25" s="2" t="s">
        <v>270</v>
      </c>
      <c r="F25" s="15">
        <v>660.0</v>
      </c>
      <c r="G25" s="16">
        <v>46234.59078784722</v>
      </c>
      <c r="H25" s="2" t="s">
        <v>27</v>
      </c>
      <c r="I25" s="2">
        <v>6.85979068E9</v>
      </c>
    </row>
    <row r="26">
      <c r="A26" s="2" t="s">
        <v>271</v>
      </c>
      <c r="B26" s="31">
        <v>46234.0</v>
      </c>
      <c r="C26" s="47">
        <v>0.5902777777777778</v>
      </c>
      <c r="D26" s="2" t="s">
        <v>63</v>
      </c>
      <c r="E26" s="2" t="s">
        <v>272</v>
      </c>
      <c r="F26" s="15">
        <v>440.0</v>
      </c>
      <c r="G26" s="16">
        <v>46234.59078784722</v>
      </c>
      <c r="H26" s="2" t="s">
        <v>27</v>
      </c>
      <c r="I26" s="2">
        <v>6.85979068E9</v>
      </c>
    </row>
    <row r="27">
      <c r="A27" s="2" t="s">
        <v>273</v>
      </c>
      <c r="B27" s="31">
        <v>46234.0</v>
      </c>
      <c r="C27" s="47">
        <v>0.5902777777777778</v>
      </c>
      <c r="D27" s="2" t="s">
        <v>63</v>
      </c>
      <c r="E27" s="2" t="s">
        <v>274</v>
      </c>
      <c r="F27" s="15">
        <v>440.0</v>
      </c>
      <c r="G27" s="16">
        <v>46234.59078784722</v>
      </c>
      <c r="H27" s="2" t="s">
        <v>27</v>
      </c>
      <c r="I27" s="2">
        <v>6.85979068E9</v>
      </c>
    </row>
    <row r="28">
      <c r="A28" s="2" t="s">
        <v>275</v>
      </c>
      <c r="B28" s="31">
        <v>46234.0</v>
      </c>
      <c r="C28" s="47">
        <v>0.5902777777777778</v>
      </c>
      <c r="D28" s="2" t="s">
        <v>63</v>
      </c>
      <c r="E28" s="2" t="s">
        <v>276</v>
      </c>
      <c r="F28" s="15">
        <v>440.0</v>
      </c>
      <c r="G28" s="16">
        <v>46234.59078784722</v>
      </c>
      <c r="H28" s="2" t="s">
        <v>27</v>
      </c>
      <c r="I28" s="2">
        <v>6.85979068E9</v>
      </c>
    </row>
    <row r="29">
      <c r="A29" s="2" t="s">
        <v>277</v>
      </c>
      <c r="B29" s="31">
        <v>46234.0</v>
      </c>
      <c r="C29" s="47">
        <v>0.5902777777777778</v>
      </c>
      <c r="D29" s="2" t="s">
        <v>63</v>
      </c>
      <c r="E29" s="2" t="s">
        <v>278</v>
      </c>
      <c r="F29" s="15">
        <v>220.0</v>
      </c>
      <c r="G29" s="16">
        <v>46234.59078784722</v>
      </c>
      <c r="H29" s="2" t="s">
        <v>27</v>
      </c>
      <c r="I29" s="2">
        <v>6.85979068E9</v>
      </c>
    </row>
    <row r="30">
      <c r="A30" s="2" t="s">
        <v>279</v>
      </c>
      <c r="B30" s="31">
        <v>46234.0</v>
      </c>
      <c r="C30" s="47">
        <v>0.5888888888888889</v>
      </c>
      <c r="D30" s="2" t="s">
        <v>201</v>
      </c>
      <c r="E30" s="2" t="s">
        <v>202</v>
      </c>
      <c r="F30" s="15">
        <v>440.0</v>
      </c>
      <c r="G30" s="16">
        <v>46234.58905145833</v>
      </c>
      <c r="H30" s="2" t="s">
        <v>27</v>
      </c>
      <c r="I30" s="2">
        <v>6.85979068E9</v>
      </c>
    </row>
    <row r="31">
      <c r="A31" s="2" t="s">
        <v>280</v>
      </c>
      <c r="B31" s="31">
        <v>46234.0</v>
      </c>
      <c r="C31" s="47">
        <v>0.5888888888888889</v>
      </c>
      <c r="D31" s="2" t="s">
        <v>201</v>
      </c>
      <c r="E31" s="2" t="s">
        <v>206</v>
      </c>
      <c r="F31" s="15">
        <v>660.0</v>
      </c>
      <c r="G31" s="16">
        <v>46234.58905145833</v>
      </c>
      <c r="H31" s="2" t="s">
        <v>27</v>
      </c>
      <c r="I31" s="2">
        <v>6.85979068E9</v>
      </c>
    </row>
    <row r="32">
      <c r="A32" s="2" t="s">
        <v>281</v>
      </c>
      <c r="B32" s="31">
        <v>46234.0</v>
      </c>
      <c r="C32" s="47">
        <v>0.5888888888888889</v>
      </c>
      <c r="D32" s="2" t="s">
        <v>201</v>
      </c>
      <c r="E32" s="2" t="s">
        <v>210</v>
      </c>
      <c r="F32" s="15">
        <v>440.0</v>
      </c>
      <c r="G32" s="16">
        <v>46234.58905145833</v>
      </c>
      <c r="H32" s="2" t="s">
        <v>27</v>
      </c>
      <c r="I32" s="2">
        <v>6.85979068E9</v>
      </c>
    </row>
    <row r="33">
      <c r="A33" s="2" t="s">
        <v>282</v>
      </c>
      <c r="B33" s="31">
        <v>46234.0</v>
      </c>
      <c r="C33" s="47">
        <v>0.5888888888888889</v>
      </c>
      <c r="D33" s="2" t="s">
        <v>201</v>
      </c>
      <c r="E33" s="2" t="s">
        <v>213</v>
      </c>
      <c r="F33" s="15">
        <v>440.0</v>
      </c>
      <c r="G33" s="16">
        <v>46234.58905145833</v>
      </c>
      <c r="H33" s="2" t="s">
        <v>27</v>
      </c>
      <c r="I33" s="2">
        <v>6.85979068E9</v>
      </c>
    </row>
    <row r="34">
      <c r="A34" s="2" t="s">
        <v>283</v>
      </c>
      <c r="B34" s="31">
        <v>46234.0</v>
      </c>
      <c r="C34" s="47">
        <v>0.5888888888888889</v>
      </c>
      <c r="D34" s="2" t="s">
        <v>67</v>
      </c>
      <c r="E34" s="2" t="s">
        <v>217</v>
      </c>
      <c r="F34" s="15">
        <v>440.0</v>
      </c>
      <c r="G34" s="16">
        <v>46234.588990856486</v>
      </c>
      <c r="H34" s="2" t="s">
        <v>27</v>
      </c>
      <c r="I34" s="2">
        <v>6.85979068E9</v>
      </c>
    </row>
    <row r="35">
      <c r="A35" s="2" t="s">
        <v>284</v>
      </c>
      <c r="B35" s="31">
        <v>46234.0</v>
      </c>
      <c r="C35" s="47">
        <v>0.5888888888888889</v>
      </c>
      <c r="D35" s="2" t="s">
        <v>67</v>
      </c>
      <c r="E35" s="2" t="s">
        <v>221</v>
      </c>
      <c r="F35" s="15">
        <v>220.0</v>
      </c>
      <c r="G35" s="16">
        <v>46234.588990856486</v>
      </c>
      <c r="H35" s="2" t="s">
        <v>27</v>
      </c>
      <c r="I35" s="2">
        <v>6.85979068E9</v>
      </c>
    </row>
    <row r="36">
      <c r="A36" s="2" t="s">
        <v>285</v>
      </c>
      <c r="B36" s="31">
        <v>46234.0</v>
      </c>
      <c r="C36" s="47">
        <v>0.5888888888888889</v>
      </c>
      <c r="D36" s="2" t="s">
        <v>67</v>
      </c>
      <c r="E36" s="2" t="s">
        <v>226</v>
      </c>
      <c r="F36" s="15">
        <v>440.0</v>
      </c>
      <c r="G36" s="16">
        <v>46234.588990856486</v>
      </c>
      <c r="H36" s="2" t="s">
        <v>27</v>
      </c>
      <c r="I36" s="2">
        <v>6.85979068E9</v>
      </c>
    </row>
    <row r="37">
      <c r="A37" s="2" t="s">
        <v>286</v>
      </c>
      <c r="B37" s="31">
        <v>46234.0</v>
      </c>
      <c r="C37" s="47">
        <v>0.5888888888888889</v>
      </c>
      <c r="D37" s="2" t="s">
        <v>67</v>
      </c>
      <c r="E37" s="2" t="s">
        <v>230</v>
      </c>
      <c r="F37" s="15">
        <v>220.0</v>
      </c>
      <c r="G37" s="16">
        <v>46234.588990856486</v>
      </c>
      <c r="H37" s="2" t="s">
        <v>27</v>
      </c>
      <c r="I37" s="2">
        <v>6.85979068E9</v>
      </c>
    </row>
    <row r="38">
      <c r="A38" s="2" t="s">
        <v>287</v>
      </c>
      <c r="B38" s="31">
        <v>46234.0</v>
      </c>
      <c r="C38" s="47">
        <v>0.5888888888888889</v>
      </c>
      <c r="D38" s="2" t="s">
        <v>67</v>
      </c>
      <c r="E38" s="2" t="s">
        <v>234</v>
      </c>
      <c r="F38" s="15">
        <v>660.0</v>
      </c>
      <c r="G38" s="16">
        <v>46234.588990856486</v>
      </c>
      <c r="H38" s="2" t="s">
        <v>27</v>
      </c>
      <c r="I38" s="2">
        <v>6.85979068E9</v>
      </c>
    </row>
    <row r="39">
      <c r="A39" s="2" t="s">
        <v>288</v>
      </c>
      <c r="B39" s="31">
        <v>46234.0</v>
      </c>
      <c r="C39" s="47">
        <v>0.5888888888888889</v>
      </c>
      <c r="D39" s="2" t="s">
        <v>78</v>
      </c>
      <c r="E39" s="2" t="s">
        <v>238</v>
      </c>
      <c r="F39" s="15">
        <v>440.0</v>
      </c>
      <c r="G39" s="16">
        <v>46234.588914548614</v>
      </c>
      <c r="H39" s="2" t="s">
        <v>27</v>
      </c>
      <c r="I39" s="2">
        <v>6.85979068E9</v>
      </c>
    </row>
    <row r="40">
      <c r="A40" s="2" t="s">
        <v>289</v>
      </c>
      <c r="B40" s="31">
        <v>46234.0</v>
      </c>
      <c r="C40" s="47">
        <v>0.5888888888888889</v>
      </c>
      <c r="D40" s="2" t="s">
        <v>78</v>
      </c>
      <c r="E40" s="2" t="s">
        <v>242</v>
      </c>
      <c r="F40" s="15">
        <v>440.0</v>
      </c>
      <c r="G40" s="16">
        <v>46234.588914548614</v>
      </c>
      <c r="H40" s="2" t="s">
        <v>27</v>
      </c>
      <c r="I40" s="2">
        <v>6.85979068E9</v>
      </c>
    </row>
    <row r="41">
      <c r="A41" s="2" t="s">
        <v>290</v>
      </c>
      <c r="B41" s="31">
        <v>46234.0</v>
      </c>
      <c r="C41" s="47">
        <v>0.5888888888888889</v>
      </c>
      <c r="D41" s="2" t="s">
        <v>78</v>
      </c>
      <c r="E41" s="2" t="s">
        <v>246</v>
      </c>
      <c r="F41" s="15">
        <v>440.0</v>
      </c>
      <c r="G41" s="16">
        <v>46234.588914548614</v>
      </c>
      <c r="H41" s="2" t="s">
        <v>27</v>
      </c>
      <c r="I41" s="2">
        <v>6.85979068E9</v>
      </c>
    </row>
    <row r="42">
      <c r="A42" s="2" t="s">
        <v>291</v>
      </c>
      <c r="B42" s="31">
        <v>46234.0</v>
      </c>
      <c r="C42" s="47">
        <v>0.5888888888888889</v>
      </c>
      <c r="D42" s="2" t="s">
        <v>78</v>
      </c>
      <c r="E42" s="2" t="s">
        <v>248</v>
      </c>
      <c r="F42" s="15">
        <v>660.0</v>
      </c>
      <c r="G42" s="16">
        <v>46234.588914548614</v>
      </c>
      <c r="H42" s="2" t="s">
        <v>27</v>
      </c>
      <c r="I42" s="2">
        <v>6.85979068E9</v>
      </c>
    </row>
    <row r="43">
      <c r="A43" s="2" t="s">
        <v>292</v>
      </c>
      <c r="B43" s="31">
        <v>46234.0</v>
      </c>
      <c r="C43" s="47">
        <v>0.5888888888888889</v>
      </c>
      <c r="D43" s="2" t="s">
        <v>78</v>
      </c>
      <c r="E43" s="2" t="s">
        <v>251</v>
      </c>
      <c r="F43" s="15">
        <v>440.0</v>
      </c>
      <c r="G43" s="16">
        <v>46234.588914548614</v>
      </c>
      <c r="H43" s="2" t="s">
        <v>27</v>
      </c>
      <c r="I43" s="2">
        <v>6.85979068E9</v>
      </c>
    </row>
    <row r="44">
      <c r="A44" s="2" t="s">
        <v>294</v>
      </c>
      <c r="B44" s="31">
        <v>46234.0</v>
      </c>
      <c r="C44" s="47">
        <v>0.5888888888888889</v>
      </c>
      <c r="D44" s="2" t="s">
        <v>78</v>
      </c>
      <c r="E44" s="2" t="s">
        <v>253</v>
      </c>
      <c r="F44" s="15">
        <v>440.0</v>
      </c>
      <c r="G44" s="16">
        <v>46234.588914548614</v>
      </c>
      <c r="H44" s="2" t="s">
        <v>27</v>
      </c>
      <c r="I44" s="2">
        <v>6.85979068E9</v>
      </c>
    </row>
    <row r="45">
      <c r="A45" s="2" t="s">
        <v>295</v>
      </c>
      <c r="B45" s="31">
        <v>46234.0</v>
      </c>
      <c r="C45" s="47">
        <v>0.5888888888888889</v>
      </c>
      <c r="D45" s="2" t="s">
        <v>78</v>
      </c>
      <c r="E45" s="2" t="s">
        <v>256</v>
      </c>
      <c r="F45" s="15">
        <v>660.0</v>
      </c>
      <c r="G45" s="16">
        <v>46234.588914548614</v>
      </c>
      <c r="H45" s="2" t="s">
        <v>27</v>
      </c>
      <c r="I45" s="2">
        <v>6.85979068E9</v>
      </c>
    </row>
    <row r="46">
      <c r="A46" s="2" t="s">
        <v>296</v>
      </c>
      <c r="B46" s="31">
        <v>46234.0</v>
      </c>
      <c r="C46" s="47">
        <v>0.5888888888888889</v>
      </c>
      <c r="D46" s="2" t="s">
        <v>78</v>
      </c>
      <c r="E46" s="2" t="s">
        <v>258</v>
      </c>
      <c r="F46" s="15">
        <v>440.0</v>
      </c>
      <c r="G46" s="16">
        <v>46234.588914548614</v>
      </c>
      <c r="H46" s="2" t="s">
        <v>27</v>
      </c>
      <c r="I46" s="2">
        <v>6.85979068E9</v>
      </c>
    </row>
    <row r="47">
      <c r="A47" s="2" t="s">
        <v>297</v>
      </c>
      <c r="B47" s="31">
        <v>46234.0</v>
      </c>
      <c r="C47" s="47">
        <v>0.5888888888888889</v>
      </c>
      <c r="D47" s="2" t="s">
        <v>78</v>
      </c>
      <c r="E47" s="2" t="s">
        <v>260</v>
      </c>
      <c r="F47" s="15">
        <v>440.0</v>
      </c>
      <c r="G47" s="16">
        <v>46234.588914548614</v>
      </c>
      <c r="H47" s="2" t="s">
        <v>27</v>
      </c>
      <c r="I47" s="2">
        <v>6.85979068E9</v>
      </c>
    </row>
    <row r="48">
      <c r="A48" s="2" t="s">
        <v>298</v>
      </c>
      <c r="B48" s="31">
        <v>46234.0</v>
      </c>
      <c r="C48" s="47">
        <v>0.5881944444444445</v>
      </c>
      <c r="D48" s="2" t="s">
        <v>78</v>
      </c>
      <c r="E48" s="2" t="s">
        <v>238</v>
      </c>
      <c r="F48" s="15">
        <v>440.0</v>
      </c>
      <c r="G48" s="16">
        <v>46234.5887506713</v>
      </c>
      <c r="H48" s="2" t="s">
        <v>27</v>
      </c>
      <c r="I48" s="2">
        <v>6.85979068E9</v>
      </c>
    </row>
    <row r="49">
      <c r="A49" s="2" t="s">
        <v>299</v>
      </c>
      <c r="B49" s="31">
        <v>46234.0</v>
      </c>
      <c r="C49" s="47">
        <v>0.5881944444444445</v>
      </c>
      <c r="D49" s="2" t="s">
        <v>78</v>
      </c>
      <c r="E49" s="2" t="s">
        <v>242</v>
      </c>
      <c r="F49" s="15">
        <v>440.0</v>
      </c>
      <c r="G49" s="16">
        <v>46234.5887506713</v>
      </c>
      <c r="H49" s="2" t="s">
        <v>27</v>
      </c>
      <c r="I49" s="2">
        <v>6.85979068E9</v>
      </c>
    </row>
    <row r="50">
      <c r="A50" s="2" t="s">
        <v>300</v>
      </c>
      <c r="B50" s="31">
        <v>46234.0</v>
      </c>
      <c r="C50" s="47">
        <v>0.5881944444444445</v>
      </c>
      <c r="D50" s="2" t="s">
        <v>78</v>
      </c>
      <c r="E50" s="2" t="s">
        <v>202</v>
      </c>
      <c r="F50" s="15">
        <v>440.0</v>
      </c>
      <c r="G50" s="16">
        <v>46234.5887506713</v>
      </c>
      <c r="H50" s="2" t="s">
        <v>27</v>
      </c>
      <c r="I50" s="2">
        <v>6.85979068E9</v>
      </c>
    </row>
    <row r="51">
      <c r="A51" s="2" t="s">
        <v>301</v>
      </c>
      <c r="B51" s="31">
        <v>46234.0</v>
      </c>
      <c r="C51" s="47">
        <v>0.5881944444444445</v>
      </c>
      <c r="D51" s="2" t="s">
        <v>78</v>
      </c>
      <c r="E51" s="2" t="s">
        <v>206</v>
      </c>
      <c r="F51" s="15">
        <v>660.0</v>
      </c>
      <c r="G51" s="16">
        <v>46234.5887506713</v>
      </c>
      <c r="H51" s="2" t="s">
        <v>27</v>
      </c>
      <c r="I51" s="2">
        <v>6.85979068E9</v>
      </c>
    </row>
    <row r="52">
      <c r="A52" s="2" t="s">
        <v>302</v>
      </c>
      <c r="B52" s="31">
        <v>46234.0</v>
      </c>
      <c r="C52" s="47">
        <v>0.5881944444444445</v>
      </c>
      <c r="D52" s="2" t="s">
        <v>78</v>
      </c>
      <c r="E52" s="2" t="s">
        <v>217</v>
      </c>
      <c r="F52" s="15">
        <v>440.0</v>
      </c>
      <c r="G52" s="16">
        <v>46234.5887506713</v>
      </c>
      <c r="H52" s="2" t="s">
        <v>27</v>
      </c>
      <c r="I52" s="2">
        <v>6.85979068E9</v>
      </c>
    </row>
    <row r="53">
      <c r="A53" s="2" t="s">
        <v>303</v>
      </c>
      <c r="B53" s="31">
        <v>46234.0</v>
      </c>
      <c r="C53" s="47">
        <v>0.5881944444444445</v>
      </c>
      <c r="D53" s="2" t="s">
        <v>78</v>
      </c>
      <c r="E53" s="2" t="s">
        <v>221</v>
      </c>
      <c r="F53" s="15">
        <v>220.0</v>
      </c>
      <c r="G53" s="16">
        <v>46234.5887506713</v>
      </c>
      <c r="H53" s="2" t="s">
        <v>27</v>
      </c>
      <c r="I53" s="2">
        <v>6.85979068E9</v>
      </c>
    </row>
    <row r="54">
      <c r="A54" s="2" t="s">
        <v>304</v>
      </c>
      <c r="B54" s="31">
        <v>46234.0</v>
      </c>
      <c r="C54" s="47">
        <v>0.5881944444444445</v>
      </c>
      <c r="D54" s="2" t="s">
        <v>78</v>
      </c>
      <c r="E54" s="2" t="s">
        <v>226</v>
      </c>
      <c r="F54" s="15">
        <v>440.0</v>
      </c>
      <c r="G54" s="16">
        <v>46234.5887506713</v>
      </c>
      <c r="H54" s="2" t="s">
        <v>27</v>
      </c>
      <c r="I54" s="2">
        <v>6.85979068E9</v>
      </c>
    </row>
    <row r="55">
      <c r="A55" s="2" t="s">
        <v>305</v>
      </c>
      <c r="B55" s="31">
        <v>46234.0</v>
      </c>
      <c r="C55" s="47">
        <v>0.5881944444444445</v>
      </c>
      <c r="D55" s="2" t="s">
        <v>78</v>
      </c>
      <c r="E55" s="2" t="s">
        <v>210</v>
      </c>
      <c r="F55" s="15">
        <v>440.0</v>
      </c>
      <c r="G55" s="16">
        <v>46234.5887506713</v>
      </c>
      <c r="H55" s="2" t="s">
        <v>27</v>
      </c>
      <c r="I55" s="2">
        <v>6.85979068E9</v>
      </c>
    </row>
    <row r="56">
      <c r="A56" s="2" t="s">
        <v>306</v>
      </c>
      <c r="B56" s="31">
        <v>46234.0</v>
      </c>
      <c r="C56" s="47">
        <v>0.5881944444444445</v>
      </c>
      <c r="D56" s="2" t="s">
        <v>78</v>
      </c>
      <c r="E56" s="2" t="s">
        <v>246</v>
      </c>
      <c r="F56" s="15">
        <v>440.0</v>
      </c>
      <c r="G56" s="16">
        <v>46234.5887506713</v>
      </c>
      <c r="H56" s="2" t="s">
        <v>27</v>
      </c>
      <c r="I56" s="2">
        <v>6.85979068E9</v>
      </c>
    </row>
    <row r="57">
      <c r="A57" s="2" t="s">
        <v>307</v>
      </c>
      <c r="B57" s="31">
        <v>46234.0</v>
      </c>
      <c r="C57" s="47">
        <v>0.5881944444444445</v>
      </c>
      <c r="D57" s="2" t="s">
        <v>78</v>
      </c>
      <c r="E57" s="2" t="s">
        <v>230</v>
      </c>
      <c r="F57" s="15">
        <v>220.0</v>
      </c>
      <c r="G57" s="16">
        <v>46234.5887506713</v>
      </c>
      <c r="H57" s="2" t="s">
        <v>27</v>
      </c>
      <c r="I57" s="2">
        <v>6.85979068E9</v>
      </c>
    </row>
    <row r="58">
      <c r="A58" s="2" t="s">
        <v>308</v>
      </c>
      <c r="B58" s="31">
        <v>46234.0</v>
      </c>
      <c r="C58" s="47">
        <v>0.5881944444444445</v>
      </c>
      <c r="D58" s="2" t="s">
        <v>78</v>
      </c>
      <c r="E58" s="2" t="s">
        <v>248</v>
      </c>
      <c r="F58" s="15">
        <v>660.0</v>
      </c>
      <c r="G58" s="16">
        <v>46234.5887506713</v>
      </c>
      <c r="H58" s="2" t="s">
        <v>27</v>
      </c>
      <c r="I58" s="2">
        <v>6.85979068E9</v>
      </c>
    </row>
    <row r="59">
      <c r="A59" s="2" t="s">
        <v>309</v>
      </c>
      <c r="B59" s="31">
        <v>46234.0</v>
      </c>
      <c r="C59" s="47">
        <v>0.5881944444444445</v>
      </c>
      <c r="D59" s="2" t="s">
        <v>78</v>
      </c>
      <c r="E59" s="2" t="s">
        <v>251</v>
      </c>
      <c r="F59" s="15">
        <v>440.0</v>
      </c>
      <c r="G59" s="16">
        <v>46234.5887506713</v>
      </c>
      <c r="H59" s="2" t="s">
        <v>27</v>
      </c>
      <c r="I59" s="2">
        <v>6.85979068E9</v>
      </c>
    </row>
    <row r="60">
      <c r="A60" s="2" t="s">
        <v>310</v>
      </c>
      <c r="B60" s="31">
        <v>46234.0</v>
      </c>
      <c r="C60" s="47">
        <v>0.5881944444444445</v>
      </c>
      <c r="D60" s="2" t="s">
        <v>78</v>
      </c>
      <c r="E60" s="2" t="s">
        <v>253</v>
      </c>
      <c r="F60" s="15">
        <v>440.0</v>
      </c>
      <c r="G60" s="16">
        <v>46234.5887506713</v>
      </c>
      <c r="H60" s="2" t="s">
        <v>27</v>
      </c>
      <c r="I60" s="2">
        <v>6.85979068E9</v>
      </c>
    </row>
    <row r="61">
      <c r="A61" s="2" t="s">
        <v>313</v>
      </c>
      <c r="B61" s="31">
        <v>46234.0</v>
      </c>
      <c r="C61" s="47">
        <v>0.5881944444444445</v>
      </c>
      <c r="D61" s="2" t="s">
        <v>78</v>
      </c>
      <c r="E61" s="2" t="s">
        <v>256</v>
      </c>
      <c r="F61" s="15">
        <v>660.0</v>
      </c>
      <c r="G61" s="16">
        <v>46234.5887506713</v>
      </c>
      <c r="H61" s="2" t="s">
        <v>27</v>
      </c>
      <c r="I61" s="2">
        <v>6.85979068E9</v>
      </c>
    </row>
    <row r="62">
      <c r="A62" s="2" t="s">
        <v>315</v>
      </c>
      <c r="B62" s="31">
        <v>46234.0</v>
      </c>
      <c r="C62" s="47">
        <v>0.5881944444444445</v>
      </c>
      <c r="D62" s="2" t="s">
        <v>78</v>
      </c>
      <c r="E62" s="2" t="s">
        <v>258</v>
      </c>
      <c r="F62" s="15">
        <v>440.0</v>
      </c>
      <c r="G62" s="16">
        <v>46234.5887506713</v>
      </c>
      <c r="H62" s="2" t="s">
        <v>27</v>
      </c>
      <c r="I62" s="2">
        <v>6.85979068E9</v>
      </c>
    </row>
    <row r="63">
      <c r="A63" s="2" t="s">
        <v>317</v>
      </c>
      <c r="B63" s="31">
        <v>46234.0</v>
      </c>
      <c r="C63" s="47">
        <v>0.5881944444444445</v>
      </c>
      <c r="D63" s="2" t="s">
        <v>78</v>
      </c>
      <c r="E63" s="2" t="s">
        <v>213</v>
      </c>
      <c r="F63" s="15">
        <v>440.0</v>
      </c>
      <c r="G63" s="16">
        <v>46234.5887506713</v>
      </c>
      <c r="H63" s="2" t="s">
        <v>27</v>
      </c>
      <c r="I63" s="2">
        <v>6.85979068E9</v>
      </c>
    </row>
    <row r="64">
      <c r="A64" s="2" t="s">
        <v>318</v>
      </c>
      <c r="B64" s="31">
        <v>46234.0</v>
      </c>
      <c r="C64" s="47">
        <v>0.5881944444444445</v>
      </c>
      <c r="D64" s="2" t="s">
        <v>78</v>
      </c>
      <c r="E64" s="2" t="s">
        <v>234</v>
      </c>
      <c r="F64" s="15">
        <v>660.0</v>
      </c>
      <c r="G64" s="16">
        <v>46234.5887506713</v>
      </c>
      <c r="H64" s="2" t="s">
        <v>27</v>
      </c>
      <c r="I64" s="2">
        <v>6.85979068E9</v>
      </c>
    </row>
    <row r="65">
      <c r="A65" s="2" t="s">
        <v>319</v>
      </c>
      <c r="B65" s="31">
        <v>46234.0</v>
      </c>
      <c r="C65" s="47">
        <v>0.5881944444444445</v>
      </c>
      <c r="D65" s="2" t="s">
        <v>78</v>
      </c>
      <c r="E65" s="2" t="s">
        <v>260</v>
      </c>
      <c r="F65" s="15">
        <v>440.0</v>
      </c>
      <c r="G65" s="16">
        <v>46234.5887506713</v>
      </c>
      <c r="H65" s="2" t="s">
        <v>27</v>
      </c>
      <c r="I65" s="2">
        <v>6.85979068E9</v>
      </c>
    </row>
    <row r="66">
      <c r="A66" s="2" t="s">
        <v>320</v>
      </c>
      <c r="B66" s="31">
        <v>46234.0</v>
      </c>
      <c r="C66" s="47">
        <v>0.5881944444444445</v>
      </c>
      <c r="D66" s="2" t="s">
        <v>63</v>
      </c>
      <c r="E66" s="2" t="s">
        <v>262</v>
      </c>
      <c r="F66" s="15">
        <v>660.0</v>
      </c>
      <c r="G66" s="16">
        <v>46234.5883135301</v>
      </c>
      <c r="H66" s="2" t="s">
        <v>27</v>
      </c>
      <c r="I66" s="2">
        <v>6.85979068E9</v>
      </c>
    </row>
    <row r="67">
      <c r="A67" s="2" t="s">
        <v>321</v>
      </c>
      <c r="B67" s="31">
        <v>46234.0</v>
      </c>
      <c r="C67" s="47">
        <v>0.5881944444444445</v>
      </c>
      <c r="D67" s="2" t="s">
        <v>63</v>
      </c>
      <c r="E67" s="2" t="s">
        <v>264</v>
      </c>
      <c r="F67" s="15">
        <v>220.0</v>
      </c>
      <c r="G67" s="16">
        <v>46234.5883135301</v>
      </c>
      <c r="H67" s="2" t="s">
        <v>27</v>
      </c>
      <c r="I67" s="2">
        <v>6.85979068E9</v>
      </c>
    </row>
    <row r="68">
      <c r="A68" s="2" t="s">
        <v>322</v>
      </c>
      <c r="B68" s="31">
        <v>46234.0</v>
      </c>
      <c r="C68" s="47">
        <v>0.5881944444444445</v>
      </c>
      <c r="D68" s="2" t="s">
        <v>63</v>
      </c>
      <c r="E68" s="2" t="s">
        <v>266</v>
      </c>
      <c r="F68" s="15">
        <v>220.0</v>
      </c>
      <c r="G68" s="16">
        <v>46234.5883135301</v>
      </c>
      <c r="H68" s="2" t="s">
        <v>27</v>
      </c>
      <c r="I68" s="2">
        <v>6.85979068E9</v>
      </c>
    </row>
    <row r="69">
      <c r="A69" s="2" t="s">
        <v>323</v>
      </c>
      <c r="B69" s="31">
        <v>46234.0</v>
      </c>
      <c r="C69" s="47">
        <v>0.5881944444444445</v>
      </c>
      <c r="D69" s="2" t="s">
        <v>63</v>
      </c>
      <c r="E69" s="2" t="s">
        <v>268</v>
      </c>
      <c r="F69" s="15">
        <v>440.0</v>
      </c>
      <c r="G69" s="16">
        <v>46234.5883135301</v>
      </c>
      <c r="H69" s="2" t="s">
        <v>27</v>
      </c>
      <c r="I69" s="2">
        <v>6.85979068E9</v>
      </c>
    </row>
    <row r="70">
      <c r="A70" s="2" t="s">
        <v>324</v>
      </c>
      <c r="B70" s="31">
        <v>46234.0</v>
      </c>
      <c r="C70" s="47">
        <v>0.5881944444444445</v>
      </c>
      <c r="D70" s="2" t="s">
        <v>63</v>
      </c>
      <c r="E70" s="2" t="s">
        <v>270</v>
      </c>
      <c r="F70" s="15">
        <v>660.0</v>
      </c>
      <c r="G70" s="16">
        <v>46234.5883135301</v>
      </c>
      <c r="H70" s="2" t="s">
        <v>27</v>
      </c>
      <c r="I70" s="2">
        <v>6.85979068E9</v>
      </c>
    </row>
    <row r="71">
      <c r="A71" s="2" t="s">
        <v>326</v>
      </c>
      <c r="B71" s="31">
        <v>46234.0</v>
      </c>
      <c r="C71" s="47">
        <v>0.5881944444444445</v>
      </c>
      <c r="D71" s="2" t="s">
        <v>63</v>
      </c>
      <c r="E71" s="2" t="s">
        <v>272</v>
      </c>
      <c r="F71" s="15">
        <v>440.0</v>
      </c>
      <c r="G71" s="16">
        <v>46234.5883135301</v>
      </c>
      <c r="H71" s="2" t="s">
        <v>27</v>
      </c>
      <c r="I71" s="2">
        <v>6.85979068E9</v>
      </c>
    </row>
    <row r="72">
      <c r="A72" s="2" t="s">
        <v>327</v>
      </c>
      <c r="B72" s="31">
        <v>46234.0</v>
      </c>
      <c r="C72" s="47">
        <v>0.5881944444444445</v>
      </c>
      <c r="D72" s="2" t="s">
        <v>63</v>
      </c>
      <c r="E72" s="2" t="s">
        <v>274</v>
      </c>
      <c r="F72" s="15">
        <v>440.0</v>
      </c>
      <c r="G72" s="16">
        <v>46234.5883135301</v>
      </c>
      <c r="H72" s="2" t="s">
        <v>27</v>
      </c>
      <c r="I72" s="2">
        <v>6.85979068E9</v>
      </c>
    </row>
    <row r="73">
      <c r="A73" s="2" t="s">
        <v>328</v>
      </c>
      <c r="B73" s="31">
        <v>46234.0</v>
      </c>
      <c r="C73" s="47">
        <v>0.5881944444444445</v>
      </c>
      <c r="D73" s="2" t="s">
        <v>63</v>
      </c>
      <c r="E73" s="2" t="s">
        <v>276</v>
      </c>
      <c r="F73" s="15">
        <v>440.0</v>
      </c>
      <c r="G73" s="16">
        <v>46234.5883135301</v>
      </c>
      <c r="H73" s="2" t="s">
        <v>27</v>
      </c>
      <c r="I73" s="2">
        <v>6.85979068E9</v>
      </c>
    </row>
    <row r="74">
      <c r="A74" s="2" t="s">
        <v>330</v>
      </c>
      <c r="B74" s="31">
        <v>46234.0</v>
      </c>
      <c r="C74" s="47">
        <v>0.5881944444444445</v>
      </c>
      <c r="D74" s="2" t="s">
        <v>63</v>
      </c>
      <c r="E74" s="2" t="s">
        <v>278</v>
      </c>
      <c r="F74" s="15">
        <v>220.0</v>
      </c>
      <c r="G74" s="16">
        <v>46234.5883135301</v>
      </c>
      <c r="H74" s="2" t="s">
        <v>27</v>
      </c>
      <c r="I74" s="2">
        <v>6.85979068E9</v>
      </c>
    </row>
    <row r="75">
      <c r="A75" s="2" t="s">
        <v>331</v>
      </c>
      <c r="B75" s="31">
        <v>46235.0</v>
      </c>
      <c r="C75" s="47">
        <v>0.26180555555555557</v>
      </c>
      <c r="D75" s="2" t="s">
        <v>63</v>
      </c>
      <c r="E75" s="2" t="s">
        <v>112</v>
      </c>
      <c r="F75" s="15">
        <v>660.0</v>
      </c>
      <c r="G75" s="16">
        <v>46234.26218414352</v>
      </c>
      <c r="H75" s="2" t="s">
        <v>27</v>
      </c>
      <c r="I75" s="2">
        <v>6.85979068E9</v>
      </c>
    </row>
    <row r="76">
      <c r="A76" s="2" t="s">
        <v>332</v>
      </c>
      <c r="B76" s="31">
        <v>46235.0</v>
      </c>
      <c r="C76" s="47">
        <v>0.2604166666666667</v>
      </c>
      <c r="D76" s="2" t="s">
        <v>63</v>
      </c>
      <c r="E76" s="2" t="s">
        <v>33</v>
      </c>
      <c r="F76" s="15">
        <v>660.0</v>
      </c>
      <c r="G76" s="16">
        <v>46234.260988865746</v>
      </c>
      <c r="H76" s="2" t="s">
        <v>27</v>
      </c>
      <c r="I76" s="2">
        <v>6.85979068E9</v>
      </c>
    </row>
    <row r="77">
      <c r="A77" s="2" t="s">
        <v>333</v>
      </c>
      <c r="B77" s="31">
        <v>46226.0</v>
      </c>
      <c r="C77" s="47">
        <v>0.4951388888888889</v>
      </c>
      <c r="D77" s="2" t="s">
        <v>63</v>
      </c>
      <c r="E77" s="2" t="s">
        <v>26</v>
      </c>
      <c r="F77" s="15">
        <v>440.0</v>
      </c>
      <c r="G77" s="16">
        <v>46225.495380520835</v>
      </c>
      <c r="H77" s="2" t="s">
        <v>338</v>
      </c>
      <c r="I77" s="2">
        <v>5.97754012E9</v>
      </c>
    </row>
    <row r="78">
      <c r="A78" s="2" t="s">
        <v>334</v>
      </c>
      <c r="B78" s="31">
        <v>46213.0</v>
      </c>
      <c r="C78" s="47">
        <v>0.6451388888888889</v>
      </c>
      <c r="D78" s="2" t="s">
        <v>63</v>
      </c>
      <c r="E78" s="2" t="s">
        <v>33</v>
      </c>
      <c r="F78" s="15">
        <v>440.0</v>
      </c>
      <c r="G78" s="16">
        <v>46213.64555998842</v>
      </c>
      <c r="H78" s="2" t="s">
        <v>27</v>
      </c>
      <c r="I78" s="2">
        <v>6.85979068E9</v>
      </c>
    </row>
    <row r="79">
      <c r="A79" s="2" t="s">
        <v>336</v>
      </c>
      <c r="B79" s="31">
        <v>46213.0</v>
      </c>
      <c r="C79" s="47">
        <v>0.6451388888888889</v>
      </c>
      <c r="D79" s="2" t="s">
        <v>63</v>
      </c>
      <c r="E79" s="2" t="s">
        <v>35</v>
      </c>
      <c r="F79" s="15">
        <v>440.0</v>
      </c>
      <c r="G79" s="16">
        <v>46213.64555998842</v>
      </c>
      <c r="H79" s="2" t="s">
        <v>27</v>
      </c>
      <c r="I79" s="2">
        <v>6.85979068E9</v>
      </c>
    </row>
    <row r="80">
      <c r="A80" s="2" t="s">
        <v>337</v>
      </c>
      <c r="B80" s="31">
        <v>46302.0</v>
      </c>
      <c r="C80" s="47">
        <v>0.5847222222222223</v>
      </c>
      <c r="D80" s="2" t="s">
        <v>67</v>
      </c>
      <c r="E80" s="2" t="s">
        <v>181</v>
      </c>
      <c r="F80" s="15">
        <v>440.0</v>
      </c>
      <c r="G80" s="16">
        <v>46213.585375509254</v>
      </c>
      <c r="H80" s="2" t="s">
        <v>339</v>
      </c>
      <c r="I80" s="2">
        <v>6.85979068E9</v>
      </c>
    </row>
    <row r="81">
      <c r="A81" s="2" t="s">
        <v>24</v>
      </c>
      <c r="B81" s="31">
        <v>46302.0</v>
      </c>
      <c r="C81" s="47">
        <v>0.5847222222222223</v>
      </c>
      <c r="D81" s="2" t="s">
        <v>67</v>
      </c>
      <c r="E81" s="2" t="s">
        <v>102</v>
      </c>
      <c r="F81" s="15">
        <v>440.0</v>
      </c>
      <c r="G81" s="16">
        <v>46213.585375509254</v>
      </c>
      <c r="H81" s="2" t="s">
        <v>339</v>
      </c>
      <c r="I81" s="2">
        <v>6.85979068E9</v>
      </c>
    </row>
    <row r="82">
      <c r="A82" s="2" t="s">
        <v>28</v>
      </c>
      <c r="B82" s="31">
        <v>46302.0</v>
      </c>
      <c r="C82" s="47">
        <v>0.5798611111111112</v>
      </c>
      <c r="D82" s="2" t="s">
        <v>67</v>
      </c>
      <c r="E82" s="2" t="s">
        <v>181</v>
      </c>
      <c r="F82" s="15">
        <v>440.0</v>
      </c>
      <c r="G82" s="16">
        <v>46213.58005802083</v>
      </c>
      <c r="H82" s="2" t="s">
        <v>339</v>
      </c>
      <c r="I82" s="2">
        <v>6.85979068E9</v>
      </c>
    </row>
    <row r="83">
      <c r="A83" s="2" t="s">
        <v>30</v>
      </c>
      <c r="B83" s="31">
        <v>46302.0</v>
      </c>
      <c r="C83" s="47">
        <v>0.5798611111111112</v>
      </c>
      <c r="D83" s="2" t="s">
        <v>67</v>
      </c>
      <c r="E83" s="2" t="s">
        <v>102</v>
      </c>
      <c r="F83" s="15">
        <v>440.0</v>
      </c>
      <c r="G83" s="16">
        <v>46213.58005802083</v>
      </c>
      <c r="H83" s="2" t="s">
        <v>339</v>
      </c>
      <c r="I83" s="2">
        <v>6.85979068E9</v>
      </c>
    </row>
    <row r="84">
      <c r="B84" s="31">
        <v>46302.0</v>
      </c>
      <c r="C84" s="47">
        <v>0.5375</v>
      </c>
      <c r="D84" s="2" t="s">
        <v>67</v>
      </c>
      <c r="E84" s="2" t="s">
        <v>181</v>
      </c>
      <c r="F84" s="15">
        <v>440.0</v>
      </c>
      <c r="G84" s="16">
        <v>46213.53756725695</v>
      </c>
      <c r="H84" s="2" t="s">
        <v>339</v>
      </c>
      <c r="I84" s="2">
        <v>6.85979068E9</v>
      </c>
    </row>
    <row r="85">
      <c r="B85" s="31">
        <v>46302.0</v>
      </c>
      <c r="C85" s="47">
        <v>0.5375</v>
      </c>
      <c r="D85" s="2" t="s">
        <v>67</v>
      </c>
      <c r="E85" s="2" t="s">
        <v>102</v>
      </c>
      <c r="F85" s="15">
        <v>440.0</v>
      </c>
      <c r="G85" s="16">
        <v>46213.53756725695</v>
      </c>
      <c r="H85" s="2" t="s">
        <v>339</v>
      </c>
      <c r="I85" s="2">
        <v>6.85979068E9</v>
      </c>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row r="1002">
      <c r="B1002" s="10"/>
    </row>
    <row r="1003">
      <c r="B1003" s="10"/>
    </row>
    <row r="1004">
      <c r="B1004" s="10"/>
    </row>
    <row r="1005">
      <c r="B1005" s="10"/>
    </row>
    <row r="1006">
      <c r="B1006" s="10"/>
    </row>
    <row r="1007">
      <c r="B1007" s="10"/>
    </row>
    <row r="1008">
      <c r="B1008" s="10"/>
    </row>
    <row r="1009">
      <c r="B1009" s="10"/>
    </row>
    <row r="1010">
      <c r="B1010" s="10"/>
    </row>
    <row r="1011">
      <c r="B1011" s="10"/>
    </row>
    <row r="1012">
      <c r="B1012" s="10"/>
    </row>
    <row r="1013">
      <c r="B1013" s="10"/>
    </row>
    <row r="1014">
      <c r="B1014" s="10"/>
    </row>
    <row r="1015">
      <c r="B1015" s="10"/>
    </row>
    <row r="1016">
      <c r="B1016" s="10"/>
    </row>
    <row r="1017">
      <c r="B1017" s="10"/>
    </row>
    <row r="1018">
      <c r="B1018" s="10"/>
    </row>
    <row r="1019">
      <c r="B1019" s="10"/>
    </row>
    <row r="1020">
      <c r="B1020" s="10"/>
    </row>
    <row r="1021">
      <c r="B1021" s="10"/>
    </row>
    <row r="1022">
      <c r="B1022" s="10"/>
    </row>
    <row r="1023">
      <c r="B1023" s="10"/>
    </row>
    <row r="1024">
      <c r="B1024" s="10"/>
    </row>
    <row r="1025">
      <c r="B1025" s="10"/>
    </row>
    <row r="1026">
      <c r="B1026" s="10"/>
    </row>
    <row r="1027">
      <c r="B1027" s="10"/>
    </row>
    <row r="1028">
      <c r="B1028" s="10"/>
    </row>
    <row r="1029">
      <c r="B1029" s="10"/>
    </row>
    <row r="1030">
      <c r="B1030" s="10"/>
    </row>
    <row r="1031">
      <c r="B1031" s="10"/>
    </row>
    <row r="1032">
      <c r="B1032" s="10"/>
    </row>
    <row r="1033">
      <c r="B1033" s="10"/>
    </row>
    <row r="1034">
      <c r="B1034" s="10"/>
    </row>
    <row r="1035">
      <c r="B1035" s="10"/>
    </row>
    <row r="1036">
      <c r="B1036" s="10"/>
    </row>
    <row r="1037">
      <c r="B1037" s="10"/>
    </row>
    <row r="1038">
      <c r="B1038" s="10"/>
    </row>
    <row r="1039">
      <c r="B1039" s="10"/>
    </row>
    <row r="1040">
      <c r="B1040" s="10"/>
    </row>
    <row r="1041">
      <c r="B1041" s="10"/>
    </row>
    <row r="1042">
      <c r="B1042" s="10"/>
    </row>
    <row r="1043">
      <c r="B1043" s="10"/>
    </row>
    <row r="1044">
      <c r="B1044" s="10"/>
    </row>
    <row r="1045">
      <c r="B1045" s="10"/>
    </row>
    <row r="1046">
      <c r="B1046" s="10"/>
    </row>
    <row r="1047">
      <c r="B1047" s="10"/>
    </row>
    <row r="1048">
      <c r="B1048" s="10"/>
    </row>
    <row r="1049">
      <c r="B1049" s="10"/>
    </row>
    <row r="1050">
      <c r="B1050" s="10"/>
    </row>
    <row r="1051">
      <c r="B1051" s="10"/>
    </row>
    <row r="1052">
      <c r="B1052" s="10"/>
    </row>
    <row r="1053">
      <c r="B1053" s="10"/>
    </row>
    <row r="1054">
      <c r="B1054" s="10"/>
    </row>
    <row r="1055">
      <c r="B1055" s="10"/>
    </row>
    <row r="1056">
      <c r="B1056" s="10"/>
    </row>
    <row r="1057">
      <c r="B1057" s="10"/>
    </row>
    <row r="1058">
      <c r="B1058" s="10"/>
    </row>
    <row r="1059">
      <c r="B1059" s="10"/>
    </row>
    <row r="1060">
      <c r="B1060" s="10"/>
    </row>
    <row r="1061">
      <c r="B1061" s="10"/>
    </row>
    <row r="1062">
      <c r="B1062" s="10"/>
    </row>
    <row r="1063">
      <c r="B1063" s="10"/>
    </row>
    <row r="1064">
      <c r="B1064" s="10"/>
    </row>
    <row r="1065">
      <c r="B1065" s="10"/>
    </row>
    <row r="1066">
      <c r="B1066" s="10"/>
    </row>
    <row r="1067">
      <c r="B1067" s="10"/>
    </row>
    <row r="1068">
      <c r="B1068" s="10"/>
    </row>
    <row r="1069">
      <c r="B1069" s="10"/>
    </row>
    <row r="1070">
      <c r="B1070" s="10"/>
    </row>
    <row r="1071">
      <c r="B1071" s="10"/>
    </row>
    <row r="1072">
      <c r="B1072" s="10"/>
    </row>
    <row r="1073">
      <c r="B1073" s="10"/>
    </row>
    <row r="1074">
      <c r="B1074" s="10"/>
    </row>
    <row r="1075">
      <c r="B1075" s="10"/>
    </row>
    <row r="1076">
      <c r="B1076" s="10"/>
    </row>
    <row r="1077">
      <c r="B1077" s="10"/>
    </row>
    <row r="1078">
      <c r="B1078" s="10"/>
    </row>
    <row r="1079">
      <c r="B1079" s="10"/>
    </row>
    <row r="1080">
      <c r="B1080" s="10"/>
    </row>
    <row r="1081">
      <c r="B1081" s="10"/>
    </row>
    <row r="1082">
      <c r="B1082" s="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0.0"/>
  </cols>
  <sheetData>
    <row r="1">
      <c r="A1" s="2" t="s">
        <v>37</v>
      </c>
      <c r="B1" s="31" t="s">
        <v>194</v>
      </c>
      <c r="C1" s="2" t="s">
        <v>195</v>
      </c>
      <c r="D1" s="2" t="s">
        <v>191</v>
      </c>
      <c r="E1" s="2" t="s">
        <v>196</v>
      </c>
    </row>
    <row r="2">
      <c r="A2" s="2" t="s">
        <v>197</v>
      </c>
      <c r="B2" s="31">
        <v>46235.0</v>
      </c>
      <c r="C2" s="2" t="s">
        <v>63</v>
      </c>
      <c r="D2" s="2" t="s">
        <v>112</v>
      </c>
      <c r="E2" s="15">
        <v>220.0</v>
      </c>
      <c r="F2" s="16">
        <v>46235.37359928241</v>
      </c>
      <c r="G2" s="2" t="s">
        <v>64</v>
      </c>
      <c r="H2" s="2">
        <v>7.063210949E9</v>
      </c>
    </row>
    <row r="3">
      <c r="A3" s="2" t="s">
        <v>199</v>
      </c>
      <c r="B3" s="31">
        <v>46235.0</v>
      </c>
      <c r="C3" s="2" t="s">
        <v>63</v>
      </c>
      <c r="D3" s="2" t="s">
        <v>33</v>
      </c>
      <c r="E3" s="15">
        <v>440.0</v>
      </c>
      <c r="F3" s="16">
        <v>46235.37359928241</v>
      </c>
      <c r="G3" s="2" t="s">
        <v>64</v>
      </c>
      <c r="H3" s="2">
        <v>7.063210949E9</v>
      </c>
    </row>
    <row r="4">
      <c r="A4" s="2" t="s">
        <v>203</v>
      </c>
      <c r="B4" s="31">
        <v>46235.0</v>
      </c>
      <c r="C4" s="2" t="s">
        <v>63</v>
      </c>
      <c r="D4" s="2" t="s">
        <v>35</v>
      </c>
      <c r="E4" s="15">
        <v>440.0</v>
      </c>
      <c r="F4" s="16">
        <v>46235.37359928241</v>
      </c>
      <c r="G4" s="2" t="s">
        <v>64</v>
      </c>
      <c r="H4" s="2">
        <v>7.063210949E9</v>
      </c>
    </row>
    <row r="5">
      <c r="A5" s="2" t="s">
        <v>205</v>
      </c>
      <c r="B5" s="31">
        <v>46235.0</v>
      </c>
      <c r="C5" s="2" t="s">
        <v>63</v>
      </c>
      <c r="D5" s="2" t="s">
        <v>70</v>
      </c>
      <c r="E5" s="15">
        <v>440.0</v>
      </c>
      <c r="F5" s="16">
        <v>46235.37359928241</v>
      </c>
      <c r="G5" s="2" t="s">
        <v>64</v>
      </c>
      <c r="H5" s="2">
        <v>7.063210949E9</v>
      </c>
    </row>
    <row r="6">
      <c r="A6" s="2" t="s">
        <v>208</v>
      </c>
      <c r="B6" s="31">
        <v>46235.0</v>
      </c>
      <c r="C6" s="2" t="s">
        <v>67</v>
      </c>
      <c r="D6" s="2" t="s">
        <v>209</v>
      </c>
      <c r="E6" s="15">
        <v>880.0</v>
      </c>
      <c r="F6" s="16">
        <v>46235.317331122686</v>
      </c>
      <c r="G6" s="2" t="s">
        <v>68</v>
      </c>
      <c r="H6" s="2">
        <v>6.803058402E9</v>
      </c>
    </row>
    <row r="7">
      <c r="A7" s="2" t="s">
        <v>211</v>
      </c>
      <c r="B7" s="31">
        <v>46235.0</v>
      </c>
      <c r="C7" s="2" t="s">
        <v>67</v>
      </c>
      <c r="D7" s="2" t="s">
        <v>91</v>
      </c>
      <c r="E7" s="15">
        <v>660.0</v>
      </c>
      <c r="F7" s="16">
        <v>46235.317331122686</v>
      </c>
      <c r="G7" s="2" t="s">
        <v>68</v>
      </c>
      <c r="H7" s="2">
        <v>6.803058402E9</v>
      </c>
    </row>
    <row r="8">
      <c r="A8" s="2" t="s">
        <v>214</v>
      </c>
      <c r="B8" s="31">
        <v>46235.0</v>
      </c>
      <c r="C8" s="2" t="s">
        <v>67</v>
      </c>
      <c r="D8" s="2" t="s">
        <v>66</v>
      </c>
      <c r="E8" s="15">
        <v>440.0</v>
      </c>
      <c r="F8" s="16">
        <v>46235.317331122686</v>
      </c>
      <c r="G8" s="2" t="s">
        <v>68</v>
      </c>
      <c r="H8" s="2">
        <v>6.803058402E9</v>
      </c>
    </row>
    <row r="9">
      <c r="A9" s="2" t="s">
        <v>216</v>
      </c>
      <c r="B9" s="31">
        <v>46235.0</v>
      </c>
      <c r="C9" s="2" t="s">
        <v>67</v>
      </c>
      <c r="D9" s="2" t="s">
        <v>218</v>
      </c>
      <c r="E9" s="15">
        <v>660.0</v>
      </c>
      <c r="F9" s="16">
        <v>46235.317331122686</v>
      </c>
      <c r="G9" s="2" t="s">
        <v>68</v>
      </c>
      <c r="H9" s="2">
        <v>6.803058402E9</v>
      </c>
    </row>
    <row r="10">
      <c r="A10" s="2" t="s">
        <v>219</v>
      </c>
      <c r="B10" s="31">
        <v>46234.0</v>
      </c>
      <c r="C10" s="2" t="s">
        <v>78</v>
      </c>
      <c r="D10" s="2" t="s">
        <v>129</v>
      </c>
      <c r="E10" s="15">
        <v>440.0</v>
      </c>
      <c r="F10" s="16">
        <v>46234.64163658565</v>
      </c>
      <c r="G10" s="2" t="s">
        <v>68</v>
      </c>
      <c r="H10" s="2">
        <v>6.803058402E9</v>
      </c>
    </row>
    <row r="11">
      <c r="A11" s="2" t="s">
        <v>222</v>
      </c>
      <c r="B11" s="31">
        <v>46234.0</v>
      </c>
      <c r="C11" s="2" t="s">
        <v>78</v>
      </c>
      <c r="D11" s="2" t="s">
        <v>223</v>
      </c>
      <c r="E11" s="15">
        <v>440.0</v>
      </c>
      <c r="F11" s="16">
        <v>46234.4041965162</v>
      </c>
      <c r="G11" s="2" t="s">
        <v>68</v>
      </c>
      <c r="H11" s="2">
        <v>6.803058402E9</v>
      </c>
    </row>
    <row r="12">
      <c r="A12" s="2" t="s">
        <v>225</v>
      </c>
      <c r="B12" s="31">
        <v>46234.0</v>
      </c>
      <c r="C12" s="2" t="s">
        <v>78</v>
      </c>
      <c r="D12" s="2" t="s">
        <v>227</v>
      </c>
      <c r="E12" s="15">
        <v>880.0</v>
      </c>
      <c r="F12" s="16">
        <v>46234.4041965162</v>
      </c>
      <c r="G12" s="2" t="s">
        <v>68</v>
      </c>
      <c r="H12" s="2">
        <v>6.803058402E9</v>
      </c>
    </row>
    <row r="13">
      <c r="A13" s="2" t="s">
        <v>228</v>
      </c>
      <c r="B13" s="31">
        <v>46234.0</v>
      </c>
      <c r="C13" s="2" t="s">
        <v>78</v>
      </c>
      <c r="D13" s="2" t="s">
        <v>95</v>
      </c>
      <c r="E13" s="15">
        <v>440.0</v>
      </c>
      <c r="F13" s="16">
        <v>46234.4041965162</v>
      </c>
      <c r="G13" s="2" t="s">
        <v>68</v>
      </c>
      <c r="H13" s="2">
        <v>6.803058402E9</v>
      </c>
    </row>
    <row r="14">
      <c r="A14" s="2" t="s">
        <v>231</v>
      </c>
      <c r="B14" s="31">
        <v>46234.0</v>
      </c>
      <c r="C14" s="2" t="s">
        <v>78</v>
      </c>
      <c r="D14" s="2" t="s">
        <v>84</v>
      </c>
      <c r="E14" s="15">
        <v>440.0</v>
      </c>
      <c r="F14" s="16">
        <v>46234.4041965162</v>
      </c>
      <c r="G14" s="2" t="s">
        <v>68</v>
      </c>
      <c r="H14" s="2">
        <v>6.803058402E9</v>
      </c>
    </row>
    <row r="15">
      <c r="A15" s="2" t="s">
        <v>233</v>
      </c>
      <c r="B15" s="31">
        <v>46234.0</v>
      </c>
      <c r="C15" s="2" t="s">
        <v>78</v>
      </c>
      <c r="D15" s="2" t="s">
        <v>227</v>
      </c>
      <c r="E15" s="15">
        <v>880.0</v>
      </c>
      <c r="F15" s="16">
        <v>46234.398732013884</v>
      </c>
      <c r="G15" s="2" t="s">
        <v>27</v>
      </c>
      <c r="H15" s="2">
        <v>6.85979068E9</v>
      </c>
    </row>
    <row r="16">
      <c r="A16" s="2" t="s">
        <v>235</v>
      </c>
      <c r="B16" s="31">
        <v>46234.0</v>
      </c>
      <c r="C16" s="2" t="s">
        <v>78</v>
      </c>
      <c r="D16" s="2" t="s">
        <v>84</v>
      </c>
      <c r="E16" s="15">
        <v>440.0</v>
      </c>
      <c r="F16" s="16">
        <v>46234.398732013884</v>
      </c>
      <c r="G16" s="2" t="s">
        <v>27</v>
      </c>
      <c r="H16" s="2">
        <v>6.85979068E9</v>
      </c>
    </row>
    <row r="17">
      <c r="A17" s="2" t="s">
        <v>237</v>
      </c>
      <c r="B17" s="31">
        <v>46233.0</v>
      </c>
      <c r="C17" s="2" t="s">
        <v>67</v>
      </c>
      <c r="D17" s="2" t="s">
        <v>82</v>
      </c>
      <c r="E17" s="15">
        <v>440.0</v>
      </c>
      <c r="F17" s="16">
        <v>46233.57555450231</v>
      </c>
      <c r="G17" s="2" t="s">
        <v>68</v>
      </c>
      <c r="H17" s="2">
        <v>6.803058402E9</v>
      </c>
    </row>
    <row r="18">
      <c r="A18" s="2" t="s">
        <v>239</v>
      </c>
      <c r="B18" s="31">
        <v>46233.0</v>
      </c>
      <c r="C18" s="2" t="s">
        <v>78</v>
      </c>
      <c r="D18" s="2" t="s">
        <v>241</v>
      </c>
      <c r="E18" s="15">
        <v>440.0</v>
      </c>
      <c r="F18" s="16">
        <v>46233.558252835646</v>
      </c>
      <c r="G18" s="2" t="s">
        <v>68</v>
      </c>
      <c r="H18" s="2">
        <v>6.803058402E9</v>
      </c>
    </row>
    <row r="19">
      <c r="A19" s="2" t="s">
        <v>243</v>
      </c>
      <c r="B19" s="31">
        <v>46233.0</v>
      </c>
      <c r="C19" s="2" t="s">
        <v>78</v>
      </c>
      <c r="D19" s="2" t="s">
        <v>177</v>
      </c>
      <c r="E19" s="15">
        <v>440.0</v>
      </c>
      <c r="F19" s="16">
        <v>46233.558252835646</v>
      </c>
      <c r="G19" s="2" t="s">
        <v>68</v>
      </c>
      <c r="H19" s="2">
        <v>6.803058402E9</v>
      </c>
    </row>
    <row r="20">
      <c r="A20" s="2" t="s">
        <v>245</v>
      </c>
      <c r="B20" s="31">
        <v>46233.0</v>
      </c>
      <c r="C20" s="2" t="s">
        <v>78</v>
      </c>
      <c r="D20" s="2" t="s">
        <v>95</v>
      </c>
      <c r="E20" s="15">
        <v>440.0</v>
      </c>
      <c r="F20" s="16">
        <v>46233.558252835646</v>
      </c>
      <c r="G20" s="2" t="s">
        <v>68</v>
      </c>
      <c r="H20" s="2">
        <v>6.803058402E9</v>
      </c>
    </row>
    <row r="21">
      <c r="A21" s="2" t="s">
        <v>193</v>
      </c>
      <c r="B21" s="31">
        <v>46233.0</v>
      </c>
      <c r="C21" s="2" t="s">
        <v>78</v>
      </c>
      <c r="D21" s="2" t="s">
        <v>84</v>
      </c>
      <c r="E21" s="15">
        <v>60.0</v>
      </c>
      <c r="F21" s="16">
        <v>46233.558252835646</v>
      </c>
      <c r="G21" s="2" t="s">
        <v>68</v>
      </c>
      <c r="H21" s="2">
        <v>6.803058402E9</v>
      </c>
    </row>
    <row r="22">
      <c r="A22" s="2" t="s">
        <v>200</v>
      </c>
      <c r="B22" s="31">
        <v>46233.0</v>
      </c>
      <c r="C22" s="2" t="s">
        <v>78</v>
      </c>
      <c r="D22" s="2" t="s">
        <v>250</v>
      </c>
      <c r="E22" s="15">
        <v>440.0</v>
      </c>
      <c r="F22" s="16">
        <v>46233.558252835646</v>
      </c>
      <c r="G22" s="2" t="s">
        <v>68</v>
      </c>
      <c r="H22" s="2">
        <v>6.803058402E9</v>
      </c>
    </row>
    <row r="23">
      <c r="A23" s="2" t="s">
        <v>204</v>
      </c>
      <c r="B23" s="31">
        <v>46232.0</v>
      </c>
      <c r="C23" s="2" t="s">
        <v>63</v>
      </c>
      <c r="D23" s="2" t="s">
        <v>75</v>
      </c>
      <c r="E23" s="15">
        <v>220.0</v>
      </c>
      <c r="F23" s="16">
        <v>46232.45454305556</v>
      </c>
      <c r="G23" s="2" t="s">
        <v>64</v>
      </c>
      <c r="H23" s="2">
        <v>7.063210949E9</v>
      </c>
    </row>
    <row r="24">
      <c r="A24" s="2" t="s">
        <v>207</v>
      </c>
      <c r="B24" s="31">
        <v>46232.0</v>
      </c>
      <c r="C24" s="2" t="s">
        <v>67</v>
      </c>
      <c r="D24" s="2" t="s">
        <v>254</v>
      </c>
      <c r="E24" s="15">
        <v>440.0</v>
      </c>
      <c r="F24" s="16">
        <v>46232.36903108796</v>
      </c>
      <c r="G24" s="2" t="s">
        <v>68</v>
      </c>
      <c r="H24" s="2">
        <v>6.803058402E9</v>
      </c>
    </row>
    <row r="25">
      <c r="A25" s="2" t="s">
        <v>212</v>
      </c>
      <c r="B25" s="31">
        <v>46232.0</v>
      </c>
      <c r="C25" s="2" t="s">
        <v>67</v>
      </c>
      <c r="D25" s="2" t="s">
        <v>223</v>
      </c>
      <c r="E25" s="15">
        <v>440.0</v>
      </c>
      <c r="F25" s="16">
        <v>46232.36903108796</v>
      </c>
      <c r="G25" s="2" t="s">
        <v>68</v>
      </c>
      <c r="H25" s="2">
        <v>6.803058402E9</v>
      </c>
    </row>
    <row r="26">
      <c r="A26" s="2" t="s">
        <v>215</v>
      </c>
      <c r="B26" s="31">
        <v>46232.0</v>
      </c>
      <c r="C26" s="2" t="s">
        <v>78</v>
      </c>
      <c r="D26" s="2" t="s">
        <v>95</v>
      </c>
      <c r="E26" s="15">
        <v>440.0</v>
      </c>
      <c r="F26" s="16">
        <v>46232.36824829861</v>
      </c>
      <c r="G26" s="2" t="s">
        <v>68</v>
      </c>
      <c r="H26" s="2">
        <v>6.803058402E9</v>
      </c>
    </row>
    <row r="27">
      <c r="A27" s="2" t="s">
        <v>220</v>
      </c>
      <c r="B27" s="31">
        <v>46232.0</v>
      </c>
      <c r="C27" s="2" t="s">
        <v>78</v>
      </c>
      <c r="D27" s="2" t="s">
        <v>129</v>
      </c>
      <c r="E27" s="15">
        <v>440.0</v>
      </c>
      <c r="F27" s="16">
        <v>46232.36824829861</v>
      </c>
      <c r="G27" s="2" t="s">
        <v>68</v>
      </c>
      <c r="H27" s="2">
        <v>6.803058402E9</v>
      </c>
    </row>
    <row r="28">
      <c r="A28" s="2" t="s">
        <v>224</v>
      </c>
      <c r="B28" s="31">
        <v>46231.0</v>
      </c>
      <c r="C28" s="2" t="s">
        <v>78</v>
      </c>
      <c r="D28" s="2" t="s">
        <v>95</v>
      </c>
      <c r="E28" s="15">
        <v>100.0</v>
      </c>
      <c r="F28" s="16">
        <v>46231.50116474537</v>
      </c>
      <c r="G28" s="2" t="s">
        <v>68</v>
      </c>
      <c r="H28" s="2">
        <v>6.803058402E9</v>
      </c>
    </row>
    <row r="29">
      <c r="A29" s="2" t="s">
        <v>229</v>
      </c>
      <c r="B29" s="31">
        <v>46231.0</v>
      </c>
      <c r="C29" s="2" t="s">
        <v>78</v>
      </c>
      <c r="D29" s="2" t="s">
        <v>77</v>
      </c>
      <c r="E29" s="15">
        <v>440.0</v>
      </c>
      <c r="F29" s="16">
        <v>46231.50116474537</v>
      </c>
      <c r="G29" s="2" t="s">
        <v>68</v>
      </c>
      <c r="H29" s="2">
        <v>6.803058402E9</v>
      </c>
    </row>
    <row r="30">
      <c r="A30" s="2" t="s">
        <v>232</v>
      </c>
      <c r="B30" s="31">
        <v>46231.0</v>
      </c>
      <c r="C30" s="2" t="s">
        <v>63</v>
      </c>
      <c r="D30" s="2" t="s">
        <v>89</v>
      </c>
      <c r="E30" s="15">
        <v>880.0</v>
      </c>
      <c r="F30" s="16">
        <v>46231.43592575232</v>
      </c>
      <c r="G30" s="2" t="s">
        <v>64</v>
      </c>
      <c r="H30" s="2">
        <v>7.063210949E9</v>
      </c>
    </row>
    <row r="31">
      <c r="A31" s="2" t="s">
        <v>236</v>
      </c>
      <c r="B31" s="31">
        <v>46231.0</v>
      </c>
      <c r="C31" s="2" t="s">
        <v>63</v>
      </c>
      <c r="D31" s="2" t="s">
        <v>102</v>
      </c>
      <c r="E31" s="15">
        <v>440.0</v>
      </c>
      <c r="F31" s="16">
        <v>46231.43592575232</v>
      </c>
      <c r="G31" s="2" t="s">
        <v>64</v>
      </c>
      <c r="H31" s="2">
        <v>7.063210949E9</v>
      </c>
    </row>
    <row r="32">
      <c r="A32" s="2" t="s">
        <v>240</v>
      </c>
      <c r="B32" s="31">
        <v>46230.0</v>
      </c>
      <c r="C32" s="2" t="s">
        <v>67</v>
      </c>
      <c r="D32" s="2" t="s">
        <v>104</v>
      </c>
      <c r="E32" s="15">
        <v>880.0</v>
      </c>
      <c r="F32" s="16">
        <v>46230.416699594905</v>
      </c>
      <c r="G32" s="2" t="s">
        <v>68</v>
      </c>
      <c r="H32" s="2">
        <v>6.803058402E9</v>
      </c>
    </row>
    <row r="33">
      <c r="A33" s="2" t="s">
        <v>244</v>
      </c>
      <c r="B33" s="31">
        <v>46230.0</v>
      </c>
      <c r="C33" s="2" t="s">
        <v>67</v>
      </c>
      <c r="D33" s="2" t="s">
        <v>93</v>
      </c>
      <c r="E33" s="15">
        <v>660.0</v>
      </c>
      <c r="F33" s="16">
        <v>46230.416699594905</v>
      </c>
      <c r="G33" s="2" t="s">
        <v>68</v>
      </c>
      <c r="H33" s="2">
        <v>6.803058402E9</v>
      </c>
    </row>
    <row r="34">
      <c r="A34" s="2" t="s">
        <v>247</v>
      </c>
      <c r="B34" s="31">
        <v>46230.0</v>
      </c>
      <c r="C34" s="2" t="s">
        <v>67</v>
      </c>
      <c r="D34" s="2" t="s">
        <v>100</v>
      </c>
      <c r="E34" s="15">
        <v>1.0</v>
      </c>
      <c r="F34" s="16">
        <v>46230.416699594905</v>
      </c>
      <c r="G34" s="2" t="s">
        <v>68</v>
      </c>
      <c r="H34" s="2">
        <v>6.803058402E9</v>
      </c>
    </row>
    <row r="35">
      <c r="A35" s="2" t="s">
        <v>249</v>
      </c>
      <c r="B35" s="31">
        <v>46230.0</v>
      </c>
      <c r="C35" s="2" t="s">
        <v>78</v>
      </c>
      <c r="D35" s="2" t="s">
        <v>86</v>
      </c>
      <c r="E35" s="15">
        <v>880.0</v>
      </c>
      <c r="F35" s="16">
        <v>46230.414909444444</v>
      </c>
      <c r="G35" s="2" t="s">
        <v>68</v>
      </c>
      <c r="H35" s="2">
        <v>6.803058402E9</v>
      </c>
    </row>
    <row r="36">
      <c r="A36" s="2" t="s">
        <v>252</v>
      </c>
      <c r="B36" s="31">
        <v>46230.0</v>
      </c>
      <c r="C36" s="2" t="s">
        <v>63</v>
      </c>
      <c r="D36" s="2" t="s">
        <v>62</v>
      </c>
      <c r="E36" s="15">
        <v>440.0</v>
      </c>
      <c r="F36" s="16">
        <v>46229.8775474537</v>
      </c>
      <c r="G36" s="2" t="s">
        <v>64</v>
      </c>
      <c r="H36" s="2">
        <v>7.063210949E9</v>
      </c>
    </row>
    <row r="37">
      <c r="A37" s="2" t="s">
        <v>255</v>
      </c>
      <c r="B37" s="31">
        <v>46229.0</v>
      </c>
      <c r="C37" s="2"/>
      <c r="D37" s="2" t="s">
        <v>107</v>
      </c>
      <c r="E37" s="15">
        <v>440.0</v>
      </c>
      <c r="F37" s="16">
        <v>46229.4413399537</v>
      </c>
      <c r="G37" s="2" t="s">
        <v>68</v>
      </c>
      <c r="H37" s="2">
        <v>6.803058402E9</v>
      </c>
    </row>
    <row r="38">
      <c r="A38" s="2" t="s">
        <v>257</v>
      </c>
      <c r="B38" s="31">
        <v>46229.0</v>
      </c>
      <c r="C38" s="2"/>
      <c r="D38" s="2" t="s">
        <v>80</v>
      </c>
      <c r="E38" s="15">
        <v>440.0</v>
      </c>
      <c r="F38" s="16">
        <v>46229.4413399537</v>
      </c>
      <c r="G38" s="2" t="s">
        <v>68</v>
      </c>
      <c r="H38" s="2">
        <v>6.803058402E9</v>
      </c>
    </row>
    <row r="39">
      <c r="A39" s="2" t="s">
        <v>259</v>
      </c>
      <c r="B39" s="31">
        <v>46229.0</v>
      </c>
      <c r="C39" s="2" t="s">
        <v>67</v>
      </c>
      <c r="D39" s="2" t="s">
        <v>91</v>
      </c>
      <c r="E39" s="15">
        <v>880.0</v>
      </c>
      <c r="F39" s="16">
        <v>46229.44070946759</v>
      </c>
      <c r="G39" s="2" t="s">
        <v>68</v>
      </c>
      <c r="H39" s="2">
        <v>6.803058402E9</v>
      </c>
    </row>
    <row r="40">
      <c r="A40" s="2" t="s">
        <v>261</v>
      </c>
      <c r="B40" s="31">
        <v>46229.0</v>
      </c>
      <c r="C40" s="2" t="s">
        <v>67</v>
      </c>
      <c r="D40" s="2" t="s">
        <v>115</v>
      </c>
      <c r="E40" s="15">
        <v>880.0</v>
      </c>
      <c r="F40" s="16">
        <v>46229.44070946759</v>
      </c>
      <c r="G40" s="2" t="s">
        <v>68</v>
      </c>
      <c r="H40" s="2">
        <v>6.803058402E9</v>
      </c>
    </row>
    <row r="41">
      <c r="A41" s="2" t="s">
        <v>263</v>
      </c>
      <c r="B41" s="31">
        <v>46229.0</v>
      </c>
      <c r="C41" s="2" t="s">
        <v>67</v>
      </c>
      <c r="D41" s="2" t="s">
        <v>156</v>
      </c>
      <c r="E41" s="15">
        <v>440.0</v>
      </c>
      <c r="F41" s="16">
        <v>46229.44070946759</v>
      </c>
      <c r="G41" s="2" t="s">
        <v>68</v>
      </c>
      <c r="H41" s="2">
        <v>6.803058402E9</v>
      </c>
    </row>
    <row r="42">
      <c r="A42" s="2" t="s">
        <v>265</v>
      </c>
      <c r="B42" s="31">
        <v>46229.0</v>
      </c>
      <c r="C42" s="2" t="s">
        <v>67</v>
      </c>
      <c r="D42" s="2" t="s">
        <v>119</v>
      </c>
      <c r="E42" s="15">
        <v>440.0</v>
      </c>
      <c r="F42" s="16">
        <v>46229.44070946759</v>
      </c>
      <c r="G42" s="2" t="s">
        <v>68</v>
      </c>
      <c r="H42" s="2">
        <v>6.803058402E9</v>
      </c>
    </row>
    <row r="43">
      <c r="A43" s="2" t="s">
        <v>267</v>
      </c>
      <c r="B43" s="31">
        <v>46229.0</v>
      </c>
      <c r="C43" s="2" t="s">
        <v>67</v>
      </c>
      <c r="D43" s="2" t="s">
        <v>82</v>
      </c>
      <c r="E43" s="15">
        <v>220.0</v>
      </c>
      <c r="F43" s="16">
        <v>46229.44070946759</v>
      </c>
      <c r="G43" s="2" t="s">
        <v>68</v>
      </c>
      <c r="H43" s="2">
        <v>6.803058402E9</v>
      </c>
    </row>
    <row r="44">
      <c r="A44" s="2" t="s">
        <v>269</v>
      </c>
      <c r="B44" s="31">
        <v>46228.0</v>
      </c>
      <c r="C44" s="2" t="s">
        <v>78</v>
      </c>
      <c r="D44" s="2" t="s">
        <v>110</v>
      </c>
      <c r="E44" s="15">
        <v>660.0</v>
      </c>
      <c r="F44" s="16">
        <v>46228.35980255787</v>
      </c>
      <c r="G44" s="2" t="s">
        <v>68</v>
      </c>
      <c r="H44" s="2">
        <v>6.803058402E9</v>
      </c>
    </row>
    <row r="45">
      <c r="A45" s="2" t="s">
        <v>271</v>
      </c>
      <c r="B45" s="31">
        <v>46228.0</v>
      </c>
      <c r="C45" s="2" t="s">
        <v>78</v>
      </c>
      <c r="D45" s="2" t="s">
        <v>84</v>
      </c>
      <c r="E45" s="15">
        <v>220.0</v>
      </c>
      <c r="F45" s="16">
        <v>46228.35980255787</v>
      </c>
      <c r="G45" s="2" t="s">
        <v>68</v>
      </c>
      <c r="H45" s="2">
        <v>6.803058402E9</v>
      </c>
    </row>
    <row r="46">
      <c r="A46" s="2" t="s">
        <v>273</v>
      </c>
      <c r="B46" s="31">
        <v>46227.0</v>
      </c>
      <c r="C46" s="2" t="s">
        <v>67</v>
      </c>
      <c r="D46" s="2" t="s">
        <v>91</v>
      </c>
      <c r="E46" s="15">
        <v>880.0</v>
      </c>
      <c r="F46" s="16">
        <v>46228.29860064815</v>
      </c>
      <c r="G46" s="2" t="s">
        <v>68</v>
      </c>
      <c r="H46" s="2">
        <v>6.803058402E9</v>
      </c>
    </row>
    <row r="47">
      <c r="A47" s="2" t="s">
        <v>275</v>
      </c>
      <c r="B47" s="31">
        <v>46227.0</v>
      </c>
      <c r="C47" s="2" t="s">
        <v>67</v>
      </c>
      <c r="D47" s="2" t="s">
        <v>115</v>
      </c>
      <c r="E47" s="15">
        <v>880.0</v>
      </c>
      <c r="F47" s="16">
        <v>46228.29860064815</v>
      </c>
      <c r="G47" s="2" t="s">
        <v>68</v>
      </c>
      <c r="H47" s="2">
        <v>6.803058402E9</v>
      </c>
    </row>
    <row r="48">
      <c r="A48" s="2" t="s">
        <v>277</v>
      </c>
      <c r="B48" s="31">
        <v>46227.0</v>
      </c>
      <c r="C48" s="2" t="s">
        <v>67</v>
      </c>
      <c r="D48" s="2" t="s">
        <v>156</v>
      </c>
      <c r="E48" s="15">
        <v>440.0</v>
      </c>
      <c r="F48" s="16">
        <v>46228.29860064815</v>
      </c>
      <c r="G48" s="2" t="s">
        <v>68</v>
      </c>
      <c r="H48" s="2">
        <v>6.803058402E9</v>
      </c>
    </row>
    <row r="49">
      <c r="A49" s="2" t="s">
        <v>279</v>
      </c>
      <c r="B49" s="31">
        <v>46227.0</v>
      </c>
      <c r="C49" s="2" t="s">
        <v>67</v>
      </c>
      <c r="D49" s="2" t="s">
        <v>119</v>
      </c>
      <c r="E49" s="15">
        <v>440.0</v>
      </c>
      <c r="F49" s="16">
        <v>46228.29860064815</v>
      </c>
      <c r="G49" s="2" t="s">
        <v>68</v>
      </c>
      <c r="H49" s="2">
        <v>6.803058402E9</v>
      </c>
    </row>
    <row r="50">
      <c r="A50" s="2" t="s">
        <v>280</v>
      </c>
      <c r="B50" s="31">
        <v>46227.0</v>
      </c>
      <c r="C50" s="2" t="s">
        <v>67</v>
      </c>
      <c r="D50" s="2" t="s">
        <v>218</v>
      </c>
      <c r="E50" s="15">
        <v>440.0</v>
      </c>
      <c r="F50" s="16">
        <v>46228.29860064815</v>
      </c>
      <c r="G50" s="2" t="s">
        <v>68</v>
      </c>
      <c r="H50" s="2">
        <v>6.803058402E9</v>
      </c>
    </row>
    <row r="51">
      <c r="A51" s="2" t="s">
        <v>281</v>
      </c>
      <c r="B51" s="31">
        <v>46227.0</v>
      </c>
      <c r="C51" s="2" t="s">
        <v>63</v>
      </c>
      <c r="D51" s="2" t="s">
        <v>112</v>
      </c>
      <c r="E51" s="15">
        <v>220.0</v>
      </c>
      <c r="F51" s="16">
        <v>46226.71053859954</v>
      </c>
      <c r="G51" s="2" t="s">
        <v>64</v>
      </c>
      <c r="H51" s="2">
        <v>7.063210949E9</v>
      </c>
    </row>
    <row r="52">
      <c r="A52" s="2" t="s">
        <v>282</v>
      </c>
      <c r="B52" s="31">
        <v>46227.0</v>
      </c>
      <c r="C52" s="2" t="s">
        <v>63</v>
      </c>
      <c r="D52" s="2" t="s">
        <v>33</v>
      </c>
      <c r="E52" s="15">
        <v>440.0</v>
      </c>
      <c r="F52" s="16">
        <v>46226.71053859954</v>
      </c>
      <c r="G52" s="2" t="s">
        <v>64</v>
      </c>
      <c r="H52" s="2">
        <v>7.063210949E9</v>
      </c>
    </row>
    <row r="53">
      <c r="A53" s="2" t="s">
        <v>283</v>
      </c>
      <c r="B53" s="31">
        <v>46226.0</v>
      </c>
      <c r="C53" s="2" t="s">
        <v>78</v>
      </c>
      <c r="D53" s="2" t="s">
        <v>107</v>
      </c>
      <c r="E53" s="15">
        <v>220.0</v>
      </c>
      <c r="F53" s="16">
        <v>46226.604583252316</v>
      </c>
      <c r="G53" s="2" t="s">
        <v>68</v>
      </c>
      <c r="H53" s="2">
        <v>6.803058402E9</v>
      </c>
    </row>
    <row r="54">
      <c r="A54" s="2" t="s">
        <v>284</v>
      </c>
      <c r="B54" s="31">
        <v>46226.0</v>
      </c>
      <c r="C54" s="2" t="s">
        <v>78</v>
      </c>
      <c r="D54" s="2" t="s">
        <v>121</v>
      </c>
      <c r="E54" s="15">
        <v>440.0</v>
      </c>
      <c r="F54" s="16">
        <v>46226.438703576394</v>
      </c>
      <c r="G54" s="2" t="s">
        <v>68</v>
      </c>
      <c r="H54" s="2">
        <v>6.803058402E9</v>
      </c>
    </row>
    <row r="55">
      <c r="A55" s="2" t="s">
        <v>285</v>
      </c>
      <c r="B55" s="31">
        <v>46226.0</v>
      </c>
      <c r="C55" s="2" t="s">
        <v>78</v>
      </c>
      <c r="D55" s="2" t="s">
        <v>123</v>
      </c>
      <c r="E55" s="15">
        <v>440.0</v>
      </c>
      <c r="F55" s="16">
        <v>46226.438703576394</v>
      </c>
      <c r="G55" s="2" t="s">
        <v>68</v>
      </c>
      <c r="H55" s="2">
        <v>6.803058402E9</v>
      </c>
    </row>
    <row r="56">
      <c r="A56" s="2" t="s">
        <v>286</v>
      </c>
      <c r="B56" s="31">
        <v>46226.0</v>
      </c>
      <c r="C56" s="2" t="s">
        <v>63</v>
      </c>
      <c r="D56" s="2" t="s">
        <v>26</v>
      </c>
      <c r="E56" s="15">
        <v>660.0</v>
      </c>
      <c r="F56" s="16">
        <v>46226.434574178245</v>
      </c>
      <c r="G56" s="2" t="s">
        <v>64</v>
      </c>
      <c r="H56" s="2">
        <v>7.063210949E9</v>
      </c>
    </row>
    <row r="57">
      <c r="A57" s="2" t="s">
        <v>287</v>
      </c>
      <c r="B57" s="31">
        <v>46226.0</v>
      </c>
      <c r="C57" s="2" t="s">
        <v>63</v>
      </c>
      <c r="D57" s="2" t="s">
        <v>29</v>
      </c>
      <c r="E57" s="15">
        <v>440.0</v>
      </c>
      <c r="F57" s="16">
        <v>46226.434574178245</v>
      </c>
      <c r="G57" s="2" t="s">
        <v>64</v>
      </c>
      <c r="H57" s="2">
        <v>7.063210949E9</v>
      </c>
    </row>
    <row r="58">
      <c r="A58" s="2" t="s">
        <v>288</v>
      </c>
      <c r="B58" s="31">
        <v>46225.0</v>
      </c>
      <c r="C58" s="2" t="s">
        <v>78</v>
      </c>
      <c r="D58" s="2" t="s">
        <v>80</v>
      </c>
      <c r="E58" s="15">
        <v>220.0</v>
      </c>
      <c r="F58" s="16">
        <v>46225.35070539352</v>
      </c>
      <c r="G58" s="2" t="s">
        <v>68</v>
      </c>
      <c r="H58" s="2">
        <v>6.803058402E9</v>
      </c>
    </row>
    <row r="59">
      <c r="A59" s="2" t="s">
        <v>289</v>
      </c>
      <c r="B59" s="31">
        <v>46225.0</v>
      </c>
      <c r="C59" s="2" t="s">
        <v>78</v>
      </c>
      <c r="D59" s="2" t="s">
        <v>121</v>
      </c>
      <c r="E59" s="15">
        <v>440.0</v>
      </c>
      <c r="F59" s="16">
        <v>46225.35070539352</v>
      </c>
      <c r="G59" s="2" t="s">
        <v>68</v>
      </c>
      <c r="H59" s="2">
        <v>6.803058402E9</v>
      </c>
    </row>
    <row r="60">
      <c r="A60" s="2" t="s">
        <v>290</v>
      </c>
      <c r="B60" s="31">
        <v>46225.0</v>
      </c>
      <c r="C60" s="2" t="s">
        <v>78</v>
      </c>
      <c r="D60" s="2" t="s">
        <v>123</v>
      </c>
      <c r="E60" s="15">
        <v>440.0</v>
      </c>
      <c r="F60" s="16">
        <v>46225.35070539352</v>
      </c>
      <c r="G60" s="2" t="s">
        <v>68</v>
      </c>
      <c r="H60" s="2">
        <v>6.803058402E9</v>
      </c>
    </row>
    <row r="61">
      <c r="A61" s="2" t="s">
        <v>291</v>
      </c>
      <c r="B61" s="31">
        <v>46225.0</v>
      </c>
      <c r="C61" s="2" t="s">
        <v>63</v>
      </c>
      <c r="D61" s="2" t="s">
        <v>26</v>
      </c>
      <c r="E61" s="15">
        <v>660.0</v>
      </c>
      <c r="F61" s="16">
        <v>46225.34389939815</v>
      </c>
      <c r="G61" s="2" t="s">
        <v>64</v>
      </c>
      <c r="H61" s="2">
        <v>7.063210949E9</v>
      </c>
    </row>
    <row r="62">
      <c r="A62" s="2" t="s">
        <v>292</v>
      </c>
      <c r="B62" s="31">
        <v>46225.0</v>
      </c>
      <c r="C62" s="2" t="s">
        <v>63</v>
      </c>
      <c r="D62" s="2" t="s">
        <v>293</v>
      </c>
      <c r="E62" s="15">
        <v>440.0</v>
      </c>
      <c r="F62" s="16">
        <v>46225.34389939815</v>
      </c>
      <c r="G62" s="2" t="s">
        <v>64</v>
      </c>
      <c r="H62" s="2">
        <v>7.063210949E9</v>
      </c>
    </row>
    <row r="63">
      <c r="A63" s="2" t="s">
        <v>294</v>
      </c>
      <c r="B63" s="31">
        <v>46225.0</v>
      </c>
      <c r="C63" s="2" t="s">
        <v>63</v>
      </c>
      <c r="D63" s="2" t="s">
        <v>29</v>
      </c>
      <c r="E63" s="15">
        <v>440.0</v>
      </c>
      <c r="F63" s="16">
        <v>46225.34389939815</v>
      </c>
      <c r="G63" s="2" t="s">
        <v>64</v>
      </c>
      <c r="H63" s="2">
        <v>7.063210949E9</v>
      </c>
    </row>
    <row r="64">
      <c r="A64" s="2" t="s">
        <v>295</v>
      </c>
      <c r="B64" s="31">
        <v>46225.0</v>
      </c>
      <c r="C64" s="2" t="s">
        <v>63</v>
      </c>
      <c r="D64" s="2" t="s">
        <v>133</v>
      </c>
      <c r="E64" s="15">
        <v>220.0</v>
      </c>
      <c r="F64" s="16">
        <v>46224.92287646991</v>
      </c>
      <c r="G64" s="2" t="s">
        <v>64</v>
      </c>
      <c r="H64" s="2">
        <v>7.063210949E9</v>
      </c>
    </row>
    <row r="65">
      <c r="A65" s="2" t="s">
        <v>296</v>
      </c>
      <c r="B65" s="31">
        <v>46225.0</v>
      </c>
      <c r="C65" s="2" t="s">
        <v>78</v>
      </c>
      <c r="D65" s="2" t="s">
        <v>129</v>
      </c>
      <c r="E65" s="15">
        <v>440.0</v>
      </c>
      <c r="F65" s="16">
        <v>46224.915522615745</v>
      </c>
      <c r="G65" s="2" t="s">
        <v>68</v>
      </c>
      <c r="H65" s="2">
        <v>6.803058402E9</v>
      </c>
    </row>
    <row r="66">
      <c r="A66" s="2" t="s">
        <v>297</v>
      </c>
      <c r="B66" s="31">
        <v>46224.0</v>
      </c>
      <c r="C66" s="2" t="s">
        <v>67</v>
      </c>
      <c r="D66" s="2" t="s">
        <v>131</v>
      </c>
      <c r="E66" s="15">
        <v>440.0</v>
      </c>
      <c r="F66" s="16">
        <v>46224.58041708333</v>
      </c>
      <c r="G66" s="2" t="s">
        <v>68</v>
      </c>
      <c r="H66" s="2">
        <v>6.803058402E9</v>
      </c>
    </row>
    <row r="67">
      <c r="A67" s="2" t="s">
        <v>298</v>
      </c>
      <c r="B67" s="31">
        <v>46223.0</v>
      </c>
      <c r="C67" s="2" t="s">
        <v>63</v>
      </c>
      <c r="D67" s="2" t="s">
        <v>142</v>
      </c>
      <c r="E67" s="15">
        <v>440.0</v>
      </c>
      <c r="F67" s="16">
        <v>46223.60785671296</v>
      </c>
      <c r="G67" s="2" t="s">
        <v>64</v>
      </c>
      <c r="H67" s="2">
        <v>7.063210949E9</v>
      </c>
    </row>
    <row r="68">
      <c r="A68" s="2" t="s">
        <v>299</v>
      </c>
      <c r="B68" s="31">
        <v>46223.0</v>
      </c>
      <c r="C68" s="2" t="s">
        <v>63</v>
      </c>
      <c r="D68" s="2" t="s">
        <v>136</v>
      </c>
      <c r="E68" s="15">
        <v>440.0</v>
      </c>
      <c r="F68" s="16">
        <v>46223.60785671296</v>
      </c>
      <c r="G68" s="2" t="s">
        <v>64</v>
      </c>
      <c r="H68" s="2">
        <v>7.063210949E9</v>
      </c>
    </row>
    <row r="69">
      <c r="A69" s="2" t="s">
        <v>300</v>
      </c>
      <c r="B69" s="31">
        <v>46222.0</v>
      </c>
      <c r="C69" s="2" t="s">
        <v>63</v>
      </c>
      <c r="D69" s="2" t="s">
        <v>35</v>
      </c>
      <c r="E69" s="15">
        <v>660.0</v>
      </c>
      <c r="F69" s="16">
        <v>46222.54750811342</v>
      </c>
      <c r="G69" s="2" t="s">
        <v>27</v>
      </c>
      <c r="H69" s="2">
        <v>6.85979068E9</v>
      </c>
    </row>
    <row r="70">
      <c r="A70" s="2" t="s">
        <v>301</v>
      </c>
      <c r="B70" s="31">
        <v>46221.0</v>
      </c>
      <c r="C70" s="2"/>
      <c r="D70" s="2" t="s">
        <v>131</v>
      </c>
      <c r="E70" s="15">
        <v>440.0</v>
      </c>
      <c r="F70" s="16">
        <v>46221.39918162037</v>
      </c>
      <c r="G70" s="2" t="s">
        <v>68</v>
      </c>
      <c r="H70" s="2">
        <v>6.803058402E9</v>
      </c>
    </row>
    <row r="71">
      <c r="A71" s="2" t="s">
        <v>302</v>
      </c>
      <c r="B71" s="31">
        <v>46221.0</v>
      </c>
      <c r="C71" s="2"/>
      <c r="D71" s="2" t="s">
        <v>129</v>
      </c>
      <c r="E71" s="15">
        <v>440.0</v>
      </c>
      <c r="F71" s="16">
        <v>46221.39875436343</v>
      </c>
      <c r="G71" s="2" t="s">
        <v>68</v>
      </c>
      <c r="H71" s="2">
        <v>6.803058402E9</v>
      </c>
    </row>
    <row r="72">
      <c r="A72" s="2" t="s">
        <v>303</v>
      </c>
      <c r="B72" s="31">
        <v>46221.0</v>
      </c>
      <c r="C72" s="2"/>
      <c r="D72" s="2" t="s">
        <v>84</v>
      </c>
      <c r="E72" s="15">
        <v>440.0</v>
      </c>
      <c r="F72" s="16">
        <v>46221.39875436343</v>
      </c>
      <c r="G72" s="2" t="s">
        <v>68</v>
      </c>
      <c r="H72" s="2">
        <v>6.803058402E9</v>
      </c>
    </row>
    <row r="73">
      <c r="A73" s="2" t="s">
        <v>304</v>
      </c>
      <c r="B73" s="31">
        <v>46220.0</v>
      </c>
      <c r="C73" s="2" t="s">
        <v>78</v>
      </c>
      <c r="D73" s="2" t="s">
        <v>146</v>
      </c>
      <c r="E73" s="15">
        <v>440.0</v>
      </c>
      <c r="F73" s="16">
        <v>46220.37983805555</v>
      </c>
      <c r="G73" s="2" t="s">
        <v>68</v>
      </c>
      <c r="H73" s="2">
        <v>6.803058402E9</v>
      </c>
    </row>
    <row r="74">
      <c r="A74" s="2" t="s">
        <v>305</v>
      </c>
      <c r="B74" s="31">
        <v>46220.0</v>
      </c>
      <c r="C74" s="2" t="s">
        <v>78</v>
      </c>
      <c r="D74" s="2" t="s">
        <v>144</v>
      </c>
      <c r="E74" s="15">
        <v>440.0</v>
      </c>
      <c r="F74" s="16">
        <v>46220.37983805555</v>
      </c>
      <c r="G74" s="2" t="s">
        <v>68</v>
      </c>
      <c r="H74" s="2">
        <v>6.803058402E9</v>
      </c>
    </row>
    <row r="75">
      <c r="A75" s="2" t="s">
        <v>306</v>
      </c>
      <c r="B75" s="31">
        <v>46220.0</v>
      </c>
      <c r="C75" s="2" t="s">
        <v>78</v>
      </c>
      <c r="D75" s="2" t="s">
        <v>158</v>
      </c>
      <c r="E75" s="15">
        <v>440.0</v>
      </c>
      <c r="F75" s="16">
        <v>46220.37983805555</v>
      </c>
      <c r="G75" s="2" t="s">
        <v>68</v>
      </c>
      <c r="H75" s="2">
        <v>6.803058402E9</v>
      </c>
    </row>
    <row r="76">
      <c r="A76" s="2" t="s">
        <v>307</v>
      </c>
      <c r="B76" s="31">
        <v>46220.0</v>
      </c>
      <c r="C76" s="2" t="s">
        <v>78</v>
      </c>
      <c r="D76" s="2" t="s">
        <v>152</v>
      </c>
      <c r="E76" s="15">
        <v>440.0</v>
      </c>
      <c r="F76" s="16">
        <v>46220.37983805555</v>
      </c>
      <c r="G76" s="2" t="s">
        <v>68</v>
      </c>
      <c r="H76" s="2">
        <v>6.803058402E9</v>
      </c>
    </row>
    <row r="77">
      <c r="A77" s="2" t="s">
        <v>308</v>
      </c>
      <c r="B77" s="31">
        <v>46220.0</v>
      </c>
      <c r="C77" s="2" t="s">
        <v>63</v>
      </c>
      <c r="D77" s="2" t="s">
        <v>160</v>
      </c>
      <c r="E77" s="15">
        <v>880.0</v>
      </c>
      <c r="F77" s="16">
        <v>46219.776966307865</v>
      </c>
      <c r="G77" s="2" t="s">
        <v>64</v>
      </c>
      <c r="H77" s="2">
        <v>7.063210949E9</v>
      </c>
    </row>
    <row r="78">
      <c r="A78" s="2" t="s">
        <v>309</v>
      </c>
      <c r="B78" s="31">
        <v>46219.0</v>
      </c>
      <c r="C78" s="2"/>
      <c r="D78" s="2" t="s">
        <v>82</v>
      </c>
      <c r="E78" s="15">
        <v>440.0</v>
      </c>
      <c r="F78" s="16">
        <v>46219.62538023148</v>
      </c>
      <c r="G78" s="2" t="s">
        <v>27</v>
      </c>
      <c r="H78" s="2">
        <v>6.85979068E9</v>
      </c>
    </row>
    <row r="79">
      <c r="A79" s="2" t="s">
        <v>310</v>
      </c>
      <c r="B79" s="31">
        <v>46217.0</v>
      </c>
      <c r="C79" s="2" t="s">
        <v>201</v>
      </c>
      <c r="D79" s="2" t="s">
        <v>311</v>
      </c>
      <c r="E79" s="15">
        <v>880.0</v>
      </c>
      <c r="F79" s="16">
        <v>46216.951969050926</v>
      </c>
      <c r="G79" s="2" t="s">
        <v>312</v>
      </c>
      <c r="H79" s="2">
        <v>6.558915011E9</v>
      </c>
    </row>
    <row r="80">
      <c r="A80" s="2" t="s">
        <v>313</v>
      </c>
      <c r="B80" s="31">
        <v>46217.0</v>
      </c>
      <c r="C80" s="2" t="s">
        <v>201</v>
      </c>
      <c r="D80" s="2" t="s">
        <v>314</v>
      </c>
      <c r="E80" s="15">
        <v>440.0</v>
      </c>
      <c r="F80" s="16">
        <v>46216.951969050926</v>
      </c>
      <c r="G80" s="2" t="s">
        <v>312</v>
      </c>
      <c r="H80" s="2">
        <v>6.558915011E9</v>
      </c>
    </row>
    <row r="81">
      <c r="A81" s="2" t="s">
        <v>315</v>
      </c>
      <c r="B81" s="31">
        <v>46217.0</v>
      </c>
      <c r="C81" s="2" t="s">
        <v>201</v>
      </c>
      <c r="D81" s="2" t="s">
        <v>316</v>
      </c>
      <c r="E81" s="15">
        <v>440.0</v>
      </c>
      <c r="F81" s="16">
        <v>46216.951969050926</v>
      </c>
      <c r="G81" s="2" t="s">
        <v>312</v>
      </c>
      <c r="H81" s="2">
        <v>6.558915011E9</v>
      </c>
    </row>
    <row r="82">
      <c r="A82" s="2" t="s">
        <v>317</v>
      </c>
      <c r="B82" s="31">
        <v>46217.0</v>
      </c>
      <c r="C82" s="2" t="s">
        <v>78</v>
      </c>
      <c r="D82" s="2" t="s">
        <v>156</v>
      </c>
      <c r="E82" s="15">
        <v>440.0</v>
      </c>
      <c r="F82" s="16">
        <v>46216.95190201389</v>
      </c>
      <c r="G82" s="2" t="s">
        <v>170</v>
      </c>
      <c r="H82" s="2">
        <v>6.803058402E9</v>
      </c>
    </row>
    <row r="83">
      <c r="A83" s="2" t="s">
        <v>318</v>
      </c>
      <c r="B83" s="31">
        <v>46217.0</v>
      </c>
      <c r="C83" s="2" t="s">
        <v>78</v>
      </c>
      <c r="D83" s="2" t="s">
        <v>80</v>
      </c>
      <c r="E83" s="15">
        <v>220.0</v>
      </c>
      <c r="F83" s="16">
        <v>46216.95190201389</v>
      </c>
      <c r="G83" s="2" t="s">
        <v>170</v>
      </c>
      <c r="H83" s="2">
        <v>6.803058402E9</v>
      </c>
    </row>
    <row r="84">
      <c r="A84" s="2" t="s">
        <v>319</v>
      </c>
      <c r="B84" s="31">
        <v>46217.0</v>
      </c>
      <c r="C84" s="2" t="s">
        <v>78</v>
      </c>
      <c r="D84" s="2" t="s">
        <v>121</v>
      </c>
      <c r="E84" s="15">
        <v>100.0</v>
      </c>
      <c r="F84" s="16">
        <v>46216.95190201389</v>
      </c>
      <c r="G84" s="2" t="s">
        <v>170</v>
      </c>
      <c r="H84" s="2">
        <v>6.803058402E9</v>
      </c>
    </row>
    <row r="85">
      <c r="A85" s="2" t="s">
        <v>320</v>
      </c>
      <c r="B85" s="31">
        <v>46217.0</v>
      </c>
      <c r="C85" s="2" t="s">
        <v>78</v>
      </c>
      <c r="D85" s="2" t="s">
        <v>129</v>
      </c>
      <c r="E85" s="15">
        <v>220.0</v>
      </c>
      <c r="F85" s="16">
        <v>46216.95190201389</v>
      </c>
      <c r="G85" s="2" t="s">
        <v>170</v>
      </c>
      <c r="H85" s="2">
        <v>6.803058402E9</v>
      </c>
    </row>
    <row r="86">
      <c r="A86" s="2" t="s">
        <v>321</v>
      </c>
      <c r="B86" s="31">
        <v>46217.0</v>
      </c>
      <c r="C86" s="2" t="s">
        <v>78</v>
      </c>
      <c r="D86" s="2" t="s">
        <v>82</v>
      </c>
      <c r="E86" s="15">
        <v>440.0</v>
      </c>
      <c r="F86" s="16">
        <v>46216.95190201389</v>
      </c>
      <c r="G86" s="2" t="s">
        <v>170</v>
      </c>
      <c r="H86" s="2">
        <v>6.803058402E9</v>
      </c>
    </row>
    <row r="87">
      <c r="A87" s="2" t="s">
        <v>322</v>
      </c>
      <c r="B87" s="31">
        <v>46219.0</v>
      </c>
      <c r="C87" s="2" t="s">
        <v>63</v>
      </c>
      <c r="D87" s="2" t="s">
        <v>162</v>
      </c>
      <c r="E87" s="15">
        <v>440.0</v>
      </c>
      <c r="F87" s="16">
        <v>46216.951847187505</v>
      </c>
      <c r="G87" s="2" t="s">
        <v>64</v>
      </c>
      <c r="H87" s="2">
        <v>7.063210949E9</v>
      </c>
    </row>
    <row r="88">
      <c r="A88" s="2" t="s">
        <v>323</v>
      </c>
      <c r="B88" s="31">
        <v>46219.0</v>
      </c>
      <c r="C88" s="2" t="s">
        <v>63</v>
      </c>
      <c r="D88" s="2" t="s">
        <v>164</v>
      </c>
      <c r="E88" s="15">
        <v>660.0</v>
      </c>
      <c r="F88" s="16">
        <v>46216.951847187505</v>
      </c>
      <c r="G88" s="2" t="s">
        <v>64</v>
      </c>
      <c r="H88" s="2">
        <v>7.063210949E9</v>
      </c>
    </row>
    <row r="89">
      <c r="A89" s="2" t="s">
        <v>324</v>
      </c>
      <c r="B89" s="31">
        <v>46218.0</v>
      </c>
      <c r="C89" s="2" t="s">
        <v>63</v>
      </c>
      <c r="D89" s="2" t="s">
        <v>325</v>
      </c>
      <c r="E89" s="15">
        <v>220.0</v>
      </c>
      <c r="F89" s="16">
        <v>46216.95178967592</v>
      </c>
      <c r="G89" s="2" t="s">
        <v>64</v>
      </c>
      <c r="H89" s="2">
        <v>7.063210949E9</v>
      </c>
    </row>
    <row r="90">
      <c r="A90" s="2" t="s">
        <v>326</v>
      </c>
      <c r="B90" s="31">
        <v>46218.0</v>
      </c>
      <c r="C90" s="2" t="s">
        <v>63</v>
      </c>
      <c r="D90" s="2" t="s">
        <v>168</v>
      </c>
      <c r="E90" s="15">
        <v>440.0</v>
      </c>
      <c r="F90" s="16">
        <v>46216.95178967592</v>
      </c>
      <c r="G90" s="2" t="s">
        <v>64</v>
      </c>
      <c r="H90" s="2">
        <v>7.063210949E9</v>
      </c>
    </row>
    <row r="91">
      <c r="A91" s="2" t="s">
        <v>327</v>
      </c>
      <c r="B91" s="31">
        <v>46218.0</v>
      </c>
      <c r="C91" s="2" t="s">
        <v>63</v>
      </c>
      <c r="D91" s="2" t="s">
        <v>181</v>
      </c>
      <c r="E91" s="15">
        <v>440.0</v>
      </c>
      <c r="F91" s="16">
        <v>46216.95178967592</v>
      </c>
      <c r="G91" s="2" t="s">
        <v>64</v>
      </c>
      <c r="H91" s="2">
        <v>7.063210949E9</v>
      </c>
    </row>
    <row r="92">
      <c r="A92" s="2" t="s">
        <v>328</v>
      </c>
      <c r="B92" s="31">
        <v>46214.0</v>
      </c>
      <c r="C92" s="2"/>
      <c r="D92" s="2" t="s">
        <v>329</v>
      </c>
      <c r="E92" s="15">
        <v>440.0</v>
      </c>
      <c r="F92" s="16">
        <v>46216.95110136574</v>
      </c>
      <c r="G92" s="2" t="s">
        <v>64</v>
      </c>
      <c r="H92" s="2">
        <v>7.063210949E9</v>
      </c>
    </row>
    <row r="93">
      <c r="A93" s="2" t="s">
        <v>330</v>
      </c>
      <c r="B93" s="31">
        <v>46216.0</v>
      </c>
      <c r="C93" s="2"/>
      <c r="D93" s="2" t="s">
        <v>33</v>
      </c>
      <c r="E93" s="15">
        <v>440.0</v>
      </c>
      <c r="F93" s="16">
        <v>46216.95101829861</v>
      </c>
      <c r="G93" s="2" t="s">
        <v>64</v>
      </c>
      <c r="H93" s="2">
        <v>7.063210949E9</v>
      </c>
    </row>
    <row r="94">
      <c r="A94" s="2" t="s">
        <v>331</v>
      </c>
      <c r="B94" s="31">
        <v>46216.0</v>
      </c>
      <c r="C94" s="2"/>
      <c r="D94" s="2" t="s">
        <v>70</v>
      </c>
      <c r="E94" s="15">
        <v>440.0</v>
      </c>
      <c r="F94" s="16">
        <v>46216.95101829861</v>
      </c>
      <c r="G94" s="2" t="s">
        <v>64</v>
      </c>
      <c r="H94" s="2">
        <v>7.063210949E9</v>
      </c>
    </row>
    <row r="95">
      <c r="A95" s="2" t="s">
        <v>332</v>
      </c>
      <c r="B95" s="31">
        <v>46216.0</v>
      </c>
      <c r="C95" s="2"/>
      <c r="D95" s="2" t="s">
        <v>160</v>
      </c>
      <c r="E95" s="15">
        <v>440.0</v>
      </c>
      <c r="F95" s="16">
        <v>46216.95101829861</v>
      </c>
      <c r="G95" s="2" t="s">
        <v>64</v>
      </c>
      <c r="H95" s="2">
        <v>7.063210949E9</v>
      </c>
    </row>
    <row r="96">
      <c r="A96" s="2" t="s">
        <v>333</v>
      </c>
      <c r="B96" s="31">
        <v>46213.0</v>
      </c>
      <c r="C96" s="2"/>
      <c r="D96" s="2" t="s">
        <v>181</v>
      </c>
      <c r="E96" s="15">
        <v>440.0</v>
      </c>
      <c r="F96" s="16">
        <v>46216.95094679398</v>
      </c>
      <c r="G96" s="2" t="s">
        <v>27</v>
      </c>
      <c r="H96" s="2">
        <v>6.85979068E9</v>
      </c>
    </row>
    <row r="97">
      <c r="A97" s="2" t="s">
        <v>334</v>
      </c>
      <c r="B97" s="31">
        <v>46213.0</v>
      </c>
      <c r="C97" s="2"/>
      <c r="D97" s="2" t="s">
        <v>33</v>
      </c>
      <c r="E97" s="15">
        <v>440.0</v>
      </c>
      <c r="F97" s="16">
        <v>46216.950884571765</v>
      </c>
      <c r="G97" s="2" t="s">
        <v>335</v>
      </c>
      <c r="H97" s="2">
        <v>8.811503647E9</v>
      </c>
    </row>
    <row r="98">
      <c r="A98" s="2" t="s">
        <v>336</v>
      </c>
      <c r="B98" s="31">
        <v>46213.0</v>
      </c>
      <c r="C98" s="2"/>
      <c r="D98" s="2" t="s">
        <v>35</v>
      </c>
      <c r="E98" s="15">
        <v>440.0</v>
      </c>
      <c r="F98" s="16">
        <v>46216.950884571765</v>
      </c>
      <c r="G98" s="2" t="s">
        <v>335</v>
      </c>
      <c r="H98" s="2">
        <v>8.811503647E9</v>
      </c>
    </row>
    <row r="99">
      <c r="A99" s="2" t="s">
        <v>337</v>
      </c>
      <c r="B99" s="31">
        <v>46213.0</v>
      </c>
      <c r="C99" s="2"/>
      <c r="D99" s="2" t="s">
        <v>168</v>
      </c>
      <c r="E99" s="15">
        <v>440.0</v>
      </c>
      <c r="F99" s="16">
        <v>46216.95081563658</v>
      </c>
      <c r="G99" s="2" t="s">
        <v>335</v>
      </c>
      <c r="H99" s="2">
        <v>8.811503647E9</v>
      </c>
    </row>
    <row r="100">
      <c r="A100" s="2" t="s">
        <v>24</v>
      </c>
      <c r="B100" s="31">
        <v>46213.0</v>
      </c>
      <c r="C100" s="2"/>
      <c r="D100" s="2" t="s">
        <v>181</v>
      </c>
      <c r="E100" s="15">
        <v>440.0</v>
      </c>
      <c r="F100" s="16">
        <v>46216.95081563658</v>
      </c>
      <c r="G100" s="2" t="s">
        <v>335</v>
      </c>
      <c r="H100" s="2">
        <v>8.811503647E9</v>
      </c>
    </row>
    <row r="101">
      <c r="A101" s="2" t="s">
        <v>28</v>
      </c>
      <c r="B101" s="31">
        <v>46213.0</v>
      </c>
      <c r="C101" s="2"/>
      <c r="D101" s="2" t="s">
        <v>102</v>
      </c>
      <c r="E101" s="15">
        <v>440.0</v>
      </c>
      <c r="F101" s="16">
        <v>46216.95081563658</v>
      </c>
      <c r="G101" s="2" t="s">
        <v>335</v>
      </c>
      <c r="H101" s="2">
        <v>8.811503647E9</v>
      </c>
    </row>
    <row r="102">
      <c r="A102" s="2" t="s">
        <v>321</v>
      </c>
      <c r="B102" s="31">
        <v>46214.0</v>
      </c>
      <c r="C102" s="2" t="s">
        <v>63</v>
      </c>
      <c r="D102" s="2" t="s">
        <v>181</v>
      </c>
      <c r="E102" s="15">
        <v>440.0</v>
      </c>
      <c r="F102" s="16">
        <v>46213.676105798615</v>
      </c>
      <c r="G102" s="2" t="s">
        <v>22</v>
      </c>
      <c r="H102" s="2">
        <v>7.237034356E9</v>
      </c>
    </row>
    <row r="103">
      <c r="A103" s="2" t="s">
        <v>322</v>
      </c>
      <c r="B103" s="31">
        <v>46213.0</v>
      </c>
      <c r="C103" s="2" t="s">
        <v>63</v>
      </c>
      <c r="D103" s="2" t="s">
        <v>168</v>
      </c>
      <c r="E103" s="15">
        <v>440.0</v>
      </c>
      <c r="F103" s="16">
        <v>46213.64743614584</v>
      </c>
      <c r="G103" s="2" t="s">
        <v>27</v>
      </c>
      <c r="H103" s="2">
        <v>6.85979068E9</v>
      </c>
    </row>
    <row r="104">
      <c r="A104" s="2" t="s">
        <v>324</v>
      </c>
      <c r="B104" s="31">
        <v>46213.0</v>
      </c>
      <c r="C104" s="2" t="s">
        <v>63</v>
      </c>
      <c r="D104" s="2" t="s">
        <v>102</v>
      </c>
      <c r="E104" s="15">
        <v>440.0</v>
      </c>
      <c r="F104" s="16">
        <v>46213.64743614584</v>
      </c>
      <c r="G104" s="2" t="s">
        <v>27</v>
      </c>
      <c r="H104" s="2">
        <v>6.85979068E9</v>
      </c>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row r="1002">
      <c r="B1002" s="10"/>
    </row>
    <row r="1003">
      <c r="B1003" s="10"/>
    </row>
    <row r="1004">
      <c r="B1004" s="10"/>
    </row>
    <row r="1005">
      <c r="B1005" s="10"/>
    </row>
    <row r="1006">
      <c r="B1006" s="10"/>
    </row>
    <row r="1007">
      <c r="B1007" s="10"/>
    </row>
    <row r="1008">
      <c r="B1008" s="10"/>
    </row>
    <row r="1009">
      <c r="B1009" s="10"/>
    </row>
    <row r="1010">
      <c r="B1010" s="10"/>
    </row>
    <row r="1011">
      <c r="B1011" s="10"/>
    </row>
    <row r="1012">
      <c r="B1012" s="10"/>
    </row>
    <row r="1013">
      <c r="B1013" s="10"/>
    </row>
    <row r="1014">
      <c r="B1014" s="10"/>
    </row>
    <row r="1015">
      <c r="B1015" s="10"/>
    </row>
    <row r="1016">
      <c r="B1016" s="10"/>
    </row>
    <row r="1017">
      <c r="B1017" s="10"/>
    </row>
    <row r="1018">
      <c r="B1018" s="10"/>
    </row>
    <row r="1019">
      <c r="B1019" s="10"/>
    </row>
    <row r="1020">
      <c r="B1020" s="10"/>
    </row>
    <row r="1021">
      <c r="B1021" s="10"/>
    </row>
    <row r="1022">
      <c r="B1022" s="10"/>
    </row>
    <row r="1023">
      <c r="B1023" s="10"/>
    </row>
    <row r="1024">
      <c r="B1024" s="10"/>
    </row>
    <row r="1025">
      <c r="B1025" s="10"/>
    </row>
    <row r="1026">
      <c r="B1026" s="10"/>
    </row>
    <row r="1027">
      <c r="B1027" s="10"/>
    </row>
    <row r="1028">
      <c r="B1028" s="10"/>
    </row>
    <row r="1029">
      <c r="B1029" s="10"/>
    </row>
    <row r="1030">
      <c r="B1030" s="10"/>
    </row>
    <row r="1031">
      <c r="B1031" s="10"/>
    </row>
    <row r="1032">
      <c r="B1032" s="10"/>
    </row>
    <row r="1033">
      <c r="B1033" s="10"/>
    </row>
    <row r="1034">
      <c r="B1034" s="10"/>
    </row>
    <row r="1035">
      <c r="B1035" s="10"/>
    </row>
    <row r="1036">
      <c r="B1036" s="10"/>
    </row>
    <row r="1037">
      <c r="B1037" s="10"/>
    </row>
    <row r="1038">
      <c r="B1038" s="10"/>
    </row>
    <row r="1039">
      <c r="B1039" s="10"/>
    </row>
    <row r="1040">
      <c r="B1040" s="10"/>
    </row>
    <row r="1041">
      <c r="B1041" s="10"/>
    </row>
    <row r="1042">
      <c r="B1042" s="10"/>
    </row>
    <row r="1043">
      <c r="B1043" s="10"/>
    </row>
    <row r="1044">
      <c r="B1044" s="10"/>
    </row>
    <row r="1045">
      <c r="B1045" s="10"/>
    </row>
    <row r="1046">
      <c r="B1046" s="10"/>
    </row>
    <row r="1047">
      <c r="B1047" s="10"/>
    </row>
    <row r="1048">
      <c r="B1048" s="10"/>
    </row>
    <row r="1049">
      <c r="B1049" s="10"/>
    </row>
    <row r="1050">
      <c r="B1050" s="10"/>
    </row>
    <row r="1051">
      <c r="B1051" s="10"/>
    </row>
    <row r="1052">
      <c r="B1052" s="10"/>
    </row>
    <row r="1053">
      <c r="B1053" s="10"/>
    </row>
    <row r="1054">
      <c r="B1054" s="10"/>
    </row>
    <row r="1055">
      <c r="B1055" s="10"/>
    </row>
    <row r="1056">
      <c r="B1056" s="10"/>
    </row>
    <row r="1057">
      <c r="B1057" s="10"/>
    </row>
    <row r="1058">
      <c r="B1058" s="10"/>
    </row>
    <row r="1059">
      <c r="B1059" s="10"/>
    </row>
    <row r="1060">
      <c r="B1060" s="10"/>
    </row>
    <row r="1061">
      <c r="B1061" s="10"/>
    </row>
    <row r="1062">
      <c r="B1062" s="10"/>
    </row>
    <row r="1063">
      <c r="B1063" s="10"/>
    </row>
    <row r="1064">
      <c r="B1064" s="10"/>
    </row>
    <row r="1065">
      <c r="B1065" s="10"/>
    </row>
    <row r="1066">
      <c r="B1066" s="10"/>
    </row>
    <row r="1067">
      <c r="B1067" s="10"/>
    </row>
    <row r="1068">
      <c r="B1068" s="10"/>
    </row>
    <row r="1069">
      <c r="B1069" s="10"/>
    </row>
    <row r="1070">
      <c r="B1070" s="10"/>
    </row>
    <row r="1071">
      <c r="B1071" s="10"/>
    </row>
    <row r="1072">
      <c r="B1072" s="10"/>
    </row>
    <row r="1073">
      <c r="B1073" s="10"/>
    </row>
    <row r="1074">
      <c r="B1074" s="10"/>
    </row>
    <row r="1075">
      <c r="B1075" s="10"/>
    </row>
    <row r="1076">
      <c r="B1076" s="10"/>
    </row>
    <row r="1077">
      <c r="B1077" s="10"/>
    </row>
    <row r="1078">
      <c r="B1078" s="10"/>
    </row>
    <row r="1079">
      <c r="B1079" s="10"/>
    </row>
    <row r="1080">
      <c r="B1080" s="10"/>
    </row>
    <row r="1081">
      <c r="B1081" s="10"/>
    </row>
    <row r="1082">
      <c r="B1082" s="10"/>
    </row>
    <row r="1083">
      <c r="B1083" s="10"/>
    </row>
    <row r="1084">
      <c r="B1084" s="10"/>
    </row>
    <row r="1085">
      <c r="B1085" s="10"/>
    </row>
    <row r="1086">
      <c r="B1086" s="10"/>
    </row>
    <row r="1087">
      <c r="B1087" s="10"/>
    </row>
    <row r="1088">
      <c r="B1088" s="10"/>
    </row>
    <row r="1089">
      <c r="B1089" s="10"/>
    </row>
    <row r="1090">
      <c r="B1090" s="10"/>
    </row>
    <row r="1091">
      <c r="B1091" s="10"/>
    </row>
    <row r="1092">
      <c r="B1092" s="10"/>
    </row>
    <row r="1093">
      <c r="B1093" s="10"/>
    </row>
    <row r="1094">
      <c r="B1094" s="10"/>
    </row>
    <row r="1095">
      <c r="B1095" s="10"/>
    </row>
    <row r="1096">
      <c r="B1096" s="10"/>
    </row>
    <row r="1097">
      <c r="B1097" s="10"/>
    </row>
    <row r="1098">
      <c r="B1098" s="10"/>
    </row>
    <row r="1099">
      <c r="B1099" s="10"/>
    </row>
  </sheetData>
  <drawing r:id="rId1"/>
</worksheet>
</file>